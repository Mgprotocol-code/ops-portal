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firstSheet="3" activeTab="9"/>
  </bookViews>
  <sheets>
    <sheet name="Read me" sheetId="1" r:id="rId1"/>
    <sheet name="Report info" sheetId="2" r:id="rId2"/>
    <sheet name="Fleet by team" sheetId="3" r:id="rId3"/>
    <sheet name="Office cars" sheetId="4" r:id="rId4"/>
    <sheet name="City cars" sheetId="5" r:id="rId5"/>
    <sheet name="Fleet notes" sheetId="6" r:id="rId6"/>
    <sheet name="FTTx blog" sheetId="7" r:id="rId7"/>
    <sheet name="Cable works" sheetId="8" r:id="rId8"/>
    <sheet name="Pending sites" sheetId="9" r:id="rId9"/>
    <sheet name="Box-Ops" sheetId="10" r:id="rId10"/>
    <sheet name="Remark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<sst xmlns="http://schemas.openxmlformats.org/spreadsheetml/2006/main" count="238" uniqueCount="168">
  <si>
    <t>Operation Daily Report – upload template</t>
  </si>
  <si>
    <t>Fill this workbook every day, then upload it in the portal (Upload daily Excel button, top of the page).</t>
  </si>
  <si>
    <t>How to fill</t>
  </si>
  <si>
    <t>1. Start on 'Report info': set the report date and the time of each section.</t>
  </si>
  <si>
    <t>2. Fill each sheet from row 4 down. One row per item. Leave unused rows empty.</t>
  </si>
  <si>
    <t>3. Do not rename sheets, do not change header names (row 3), do not insert columns.</t>
  </si>
  <si>
    <t>4. Do not add total rows – the portal calculates all totals, subtotals and percentages.</t>
  </si>
  <si>
    <t>5. Use the dropdowns where offered (Priority, Stage, Type, Area).</t>
  </si>
  <si>
    <t>6. Save as .xlsx and upload. The portal checks the file and shows any problem before publishing.</t>
  </si>
  <si>
    <t>Cell colours</t>
  </si>
  <si>
    <t>Yellow = you fill it in.</t>
  </si>
  <si>
    <t>Grey = calculated automatically (for your checking only, not uploaded).</t>
  </si>
  <si>
    <t>Teal header = column name the portal reads. Keep it exactly as it is.</t>
  </si>
  <si>
    <t>The workbook is pre-filled with the 16 Oct 2026 report as an example. Overwrite it with each day's figures.</t>
  </si>
  <si>
    <t>Report info</t>
  </si>
  <si>
    <t>Date and time of each section, as printed on the report.</t>
  </si>
  <si>
    <t>Item</t>
  </si>
  <si>
    <t>Value</t>
  </si>
  <si>
    <t>Report date</t>
  </si>
  <si>
    <t>Fleet time</t>
  </si>
  <si>
    <t>11:00 AM</t>
  </si>
  <si>
    <t>City time</t>
  </si>
  <si>
    <t>9:00 PM</t>
  </si>
  <si>
    <t>FTTx time</t>
  </si>
  <si>
    <t>9:00 AM</t>
  </si>
  <si>
    <t>Box-Ops time</t>
  </si>
  <si>
    <t>10:00 AM</t>
  </si>
  <si>
    <t>Fleet by team</t>
  </si>
  <si>
    <t>Car request / plan / actual per YGN team. One row per team.</t>
  </si>
  <si>
    <t>Priority</t>
  </si>
  <si>
    <t>Team</t>
  </si>
  <si>
    <t>Request</t>
  </si>
  <si>
    <t>Plan</t>
  </si>
  <si>
    <t>Actual</t>
  </si>
  <si>
    <t>Actual %</t>
  </si>
  <si>
    <t>P1~3</t>
  </si>
  <si>
    <t>BC-SbS</t>
  </si>
  <si>
    <t>FiberOps</t>
  </si>
  <si>
    <t>FieldOps</t>
  </si>
  <si>
    <t>LANOps-DIA</t>
  </si>
  <si>
    <t>MnEOps</t>
  </si>
  <si>
    <t>P4~5</t>
  </si>
  <si>
    <t>FTTHOps1</t>
  </si>
  <si>
    <t>FTTHOps2</t>
  </si>
  <si>
    <t>P6</t>
  </si>
  <si>
    <t>BoxOps1</t>
  </si>
  <si>
    <t>BoxOps2</t>
  </si>
  <si>
    <t>P7</t>
  </si>
  <si>
    <t>FieldOps-SbS2</t>
  </si>
  <si>
    <t>P8</t>
  </si>
  <si>
    <t>Fiber</t>
  </si>
  <si>
    <t>FiberW</t>
  </si>
  <si>
    <t>P9-Non Priority</t>
  </si>
  <si>
    <t>Facility</t>
  </si>
  <si>
    <t>FinSbS1</t>
  </si>
  <si>
    <t>Fleet</t>
  </si>
  <si>
    <t>Impl-QC</t>
  </si>
  <si>
    <t>Impl-SbS</t>
  </si>
  <si>
    <t>IT Support</t>
  </si>
  <si>
    <t>PMOps</t>
  </si>
  <si>
    <t>Reseller-SbS</t>
  </si>
  <si>
    <t>StraOps</t>
  </si>
  <si>
    <t>Office cars</t>
  </si>
  <si>
    <t>Office car assignment per OU (day and night shift).</t>
  </si>
  <si>
    <t>OU</t>
  </si>
  <si>
    <t>Day</t>
  </si>
  <si>
    <t>Night</t>
  </si>
  <si>
    <t>Total</t>
  </si>
  <si>
    <t>City cars</t>
  </si>
  <si>
    <t>Car request vs actual per city. Do NOT add an All Cities row – the portal adds it.</t>
  </si>
  <si>
    <t>City</t>
  </si>
  <si>
    <t>YGN</t>
  </si>
  <si>
    <t>BOB</t>
  </si>
  <si>
    <t>MAM</t>
  </si>
  <si>
    <t>MDY</t>
  </si>
  <si>
    <t>MEO</t>
  </si>
  <si>
    <t>MYW</t>
  </si>
  <si>
    <t>NPW</t>
  </si>
  <si>
    <t>TIS</t>
  </si>
  <si>
    <t>TOB</t>
  </si>
  <si>
    <t>Fleet notes</t>
  </si>
  <si>
    <t>Keep the Item names exactly as written; fill the Cars column.</t>
  </si>
  <si>
    <t>Cars</t>
  </si>
  <si>
    <t>Actual Vs Plan</t>
  </si>
  <si>
    <t>Driver Leave</t>
  </si>
  <si>
    <t>Diff</t>
  </si>
  <si>
    <t>* Office Car(Day+Night)</t>
  </si>
  <si>
    <t>* Contract Car</t>
  </si>
  <si>
    <t>FTTx blog</t>
  </si>
  <si>
    <t>Today’s blog per FTTx region.</t>
  </si>
  <si>
    <t>Region</t>
  </si>
  <si>
    <t>Car</t>
  </si>
  <si>
    <t>Broken / high-loss</t>
  </si>
  <si>
    <t>Migration / activities</t>
  </si>
  <si>
    <t>Remain / pending</t>
  </si>
  <si>
    <t>YGN-R1/R1s</t>
  </si>
  <si>
    <t>YGN-R2/R2s</t>
  </si>
  <si>
    <t>YGN-R2(HRY)</t>
  </si>
  <si>
    <t>YGN-Night</t>
  </si>
  <si>
    <t>Cable works</t>
  </si>
  <si>
    <t>Cable cutting / cleaning. Stage = Done (yesterday) or Plan (today).</t>
  </si>
  <si>
    <t>Stage</t>
  </si>
  <si>
    <t>Date</t>
  </si>
  <si>
    <t>Township</t>
  </si>
  <si>
    <t>Type</t>
  </si>
  <si>
    <t>Street and road</t>
  </si>
  <si>
    <t>HC</t>
  </si>
  <si>
    <t>Labour</t>
  </si>
  <si>
    <t>Impact OLT</t>
  </si>
  <si>
    <t>Impact CA1</t>
  </si>
  <si>
    <t>Impact CA2/OTB</t>
  </si>
  <si>
    <t>R1</t>
  </si>
  <si>
    <t>TAY</t>
  </si>
  <si>
    <t>Cable Cleaning</t>
  </si>
  <si>
    <t>ဧရာဝဏ်လမ်းမကြီး</t>
  </si>
  <si>
    <t>R2</t>
  </si>
  <si>
    <t>SRY</t>
  </si>
  <si>
    <t>ဘုရင့်နောင်လမ်း (၁၀ ရပ်ကွက်)</t>
  </si>
  <si>
    <t>Pending sites</t>
  </si>
  <si>
    <t>Sites still pending from yesterday, by reason.</t>
  </si>
  <si>
    <t>Reason</t>
  </si>
  <si>
    <t>Case</t>
  </si>
  <si>
    <t>Sites</t>
  </si>
  <si>
    <t>Pending @ Site Lease</t>
  </si>
  <si>
    <t>CA2</t>
  </si>
  <si>
    <t>Pending @ Gov</t>
  </si>
  <si>
    <t>Yangon Remain CA1</t>
  </si>
  <si>
    <t>CA1</t>
  </si>
  <si>
    <t>Yangon Remain CA2</t>
  </si>
  <si>
    <t>Box-Ops</t>
  </si>
  <si>
    <t>One row per township. Do NOT add region total rows – the portal adds subtotals.</t>
  </si>
  <si>
    <t>Ticket blog</t>
  </si>
  <si>
    <t>Plan tkts</t>
  </si>
  <si>
    <t>POI blog</t>
  </si>
  <si>
    <t>Plan POI</t>
  </si>
  <si>
    <t>SI team</t>
  </si>
  <si>
    <t>Plan % tkt</t>
  </si>
  <si>
    <t>Plan % POI</t>
  </si>
  <si>
    <t>Car/Team</t>
  </si>
  <si>
    <t>Team/Labour</t>
  </si>
  <si>
    <t>NAY</t>
  </si>
  <si>
    <t>TNY</t>
  </si>
  <si>
    <t>R1s</t>
  </si>
  <si>
    <t>SAY</t>
  </si>
  <si>
    <t>DOY</t>
  </si>
  <si>
    <t>MTY</t>
  </si>
  <si>
    <t>TEY</t>
  </si>
  <si>
    <t>OPI</t>
  </si>
  <si>
    <t>R1O</t>
  </si>
  <si>
    <t>Remarks</t>
  </si>
  <si>
    <t>Every remark. Area: Fleet, FTTx or FTTx pending. Topic “Car in workshop” is counted on the Overview.</t>
  </si>
  <si>
    <t>Area</t>
  </si>
  <si>
    <t>Topic</t>
  </si>
  <si>
    <t>Remark</t>
  </si>
  <si>
    <t>Car Accident</t>
  </si>
  <si>
    <t>9S/6972 &gt; BoxOps1 ( Car Accident Case)</t>
  </si>
  <si>
    <t>Workshop</t>
  </si>
  <si>
    <t>1M/2283 &gt; Fleet (Workshop)</t>
  </si>
  <si>
    <t>FTTx</t>
  </si>
  <si>
    <t>Team support</t>
  </si>
  <si>
    <t>To Help Box Ops-2(MAM) TOB/MYW က Field ops team နဲ့ car share သွားပါတယ် To Help Box Ops-2(MAM)</t>
  </si>
  <si>
    <t>FTTx pending</t>
  </si>
  <si>
    <t>Pending @ Ops Site Lease &gt;&gt;&gt; CA2 – 2 sites (no detail remark in report)</t>
  </si>
  <si>
    <t>INY မြို့နယ်တွင် EPC နဲ့ စည်ပင် ပေါင်းပြီး ကြိုးများ ဖြတ်ချသွားတာပါ / EPC ကသူတို့တိုင်ပေါ် ကြိုးပေးမဆွဲလို့ တိုင်အသစ်ထောင်ပြီးမှသာ ကြိုးပြန်ဆွဲလို့ရမှာပါ(CA2 Broken-6 sites)</t>
  </si>
  <si>
    <t>Yangon Remain CA1 Broken</t>
  </si>
  <si>
    <t>HRY မြို့နယ်တွင်  LM cable ပြတ်သွားလို့ ကြိုးပြန်ဆွဲရမှာပါ/ Labour မပါလို့ မဆွဲခဲ့ရပါဘူး ဒီနေ့ ပြန်သွားလုပ်နေပါပြီ (CA1 Broken -1)</t>
  </si>
  <si>
    <t>Yangon Remain CA2 Broken</t>
  </si>
  <si>
    <t>HRY မြို့နယ်တွင်  LM cable ပြတ်သွားလို့ ကြိုးပြန်ဆွဲရမှာပါ/ Labour မပါလို့ မဆွဲခဲ့ရပါဘူး ဒီနေ့ ပြန်သွားလုပ်နေပါပြီ (CA2 Broken -2)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</si>
</sst>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  <numFmt numFmtId="177" formatCode="0.0"/>
  </numFmts>
  <fonts count="31">
    <font>
      <sz val="11"/>
      <color theme="1"/>
      <name val="Calibri"/>
      <charset val="1"/>
    </font>
    <font>
      <b/>
      <sz val="14"/>
      <color rgb="FF1F6F78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color rgb="FF404040"/>
      <name val="Arial"/>
      <charset val="1"/>
    </font>
    <font>
      <b/>
      <sz val="11"/>
      <name val="Arial"/>
      <charset val="1"/>
    </font>
    <font>
      <b/>
      <sz val="16"/>
      <color rgb="FF1F6F78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F8DC"/>
        <bgColor rgb="FFFFFFFF"/>
      </patternFill>
    </fill>
    <fill>
      <patternFill patternType="solid">
        <fgColor rgb="FFEDEDED"/>
        <bgColor rgb="FFFFF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176" fontId="4" fillId="3" borderId="1" xfId="0" applyNumberFormat="1" applyFont="1" applyFill="1" applyBorder="1"/>
    <xf numFmtId="1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9" fontId="5" fillId="4" borderId="1" xfId="0" applyNumberFormat="1" applyFont="1" applyFill="1" applyBorder="1" applyAlignment="1"/>
    <xf numFmtId="177" fontId="5" fillId="4" borderId="1" xfId="0" applyNumberFormat="1" applyFont="1" applyFill="1" applyBorder="1" applyAlignment="1"/>
    <xf numFmtId="9" fontId="5" fillId="4" borderId="1" xfId="0" applyNumberFormat="1" applyFont="1" applyFill="1" applyBorder="1"/>
    <xf numFmtId="177" fontId="5" fillId="4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/>
    <xf numFmtId="9" fontId="5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9" fontId="5" fillId="4" borderId="1" xfId="0" applyNumberFormat="1" applyFont="1" applyFill="1" applyBorder="1" applyAlignment="1">
      <alignment horizontal="right"/>
    </xf>
    <xf numFmtId="9" fontId="5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6" fillId="0" borderId="1" xfId="0" applyFont="1" applyBorder="1"/>
    <xf numFmtId="176" fontId="4" fillId="3" borderId="1" xfId="0" applyNumberFormat="1" applyFont="1" applyFill="1" applyBorder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F78"/>
      <rgbColor rgb="00BFBFBF"/>
      <rgbColor rgb="00808080"/>
      <rgbColor rgb="009999FF"/>
      <rgbColor rgb="00993366"/>
      <rgbColor rgb="00FFF8DC"/>
      <rgbColor rgb="00EDEDED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showGridLines="0" workbookViewId="0">
      <selection activeCell="C17" sqref="C17"/>
    </sheetView>
  </sheetViews>
  <sheetFormatPr defaultColWidth="8.67592592592593" defaultRowHeight="14.4" outlineLevelCol="1"/>
  <cols>
    <col min="1" max="1" width="4" customWidth="1"/>
    <col min="2" max="2" width="100" customWidth="1"/>
  </cols>
  <sheetData>
    <row r="2" ht="21" spans="1:2">
      <c r="B2" s="25" t="s">
        <v>0</v>
      </c>
    </row>
    <row r="3" spans="1:2">
      <c r="B3" s="26" t="s">
        <v>1</v>
      </c>
    </row>
    <row r="5" ht="15.6" spans="1:2">
      <c r="B5" s="27" t="s">
        <v>2</v>
      </c>
    </row>
    <row r="6" spans="1:2">
      <c r="B6" s="26" t="s">
        <v>3</v>
      </c>
    </row>
    <row r="7" spans="1:2">
      <c r="B7" s="26" t="s">
        <v>4</v>
      </c>
    </row>
    <row r="8" spans="1:2">
      <c r="B8" s="26" t="s">
        <v>5</v>
      </c>
    </row>
    <row r="9" spans="1:2">
      <c r="B9" s="26" t="s">
        <v>6</v>
      </c>
    </row>
    <row r="10" spans="1:2">
      <c r="B10" s="26" t="s">
        <v>7</v>
      </c>
    </row>
    <row r="11" spans="1:2">
      <c r="B11" s="26" t="s">
        <v>8</v>
      </c>
    </row>
    <row r="13" ht="15.6" spans="1:2">
      <c r="B13" s="27" t="s">
        <v>9</v>
      </c>
    </row>
    <row r="14" spans="1:2">
      <c r="A14" s="28"/>
      <c r="B14" s="26" t="s">
        <v>10</v>
      </c>
    </row>
    <row r="15" spans="1:2">
      <c r="A15" s="29"/>
      <c r="B15" s="26" t="s">
        <v>11</v>
      </c>
    </row>
    <row r="16" spans="1:2">
      <c r="A16" s="30"/>
      <c r="B16" s="26" t="s">
        <v>12</v>
      </c>
    </row>
    <row r="18" spans="2:2">
      <c r="B18" s="2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3" topLeftCell="A4" activePane="bottomLeft" state="frozen"/>
      <selection/>
      <selection pane="bottomLeft" activeCell="L24" sqref="L24"/>
    </sheetView>
  </sheetViews>
  <sheetFormatPr defaultColWidth="8.67592592592593" defaultRowHeight="14.4" outlineLevelRow="7" outlineLevelCol="1"/>
  <cols>
    <col min="1" max="2" width="16" customWidth="1"/>
  </cols>
  <sheetData>
    <row r="1" ht="17.4" spans="1:2">
      <c r="A1" s="1" t="s">
        <v>14</v>
      </c>
    </row>
    <row r="2" spans="1:2">
      <c r="A2" s="2" t="s">
        <v>15</v>
      </c>
    </row>
    <row r="3" spans="1:2">
      <c r="A3" s="22" t="s">
        <v>16</v>
      </c>
      <c r="B3" s="22" t="s">
        <v>17</v>
      </c>
    </row>
    <row r="4" spans="1:2">
      <c r="A4" s="23" t="s">
        <v>18</v>
      </c>
      <c r="B4" s="24">
        <v>46323</v>
      </c>
    </row>
    <row r="5" spans="1:2">
      <c r="A5" s="23" t="s">
        <v>19</v>
      </c>
      <c r="B5" s="4" t="s">
        <v>20</v>
      </c>
    </row>
    <row r="6" spans="1:2">
      <c r="A6" s="23" t="s">
        <v>21</v>
      </c>
      <c r="B6" s="4" t="s">
        <v>22</v>
      </c>
    </row>
    <row r="7" spans="1:2">
      <c r="A7" s="23" t="s">
        <v>23</v>
      </c>
      <c r="B7" s="4" t="s">
        <v>24</v>
      </c>
    </row>
    <row r="8" spans="1:2">
      <c r="A8" s="23" t="s">
        <v>25</v>
      </c>
      <c r="B8" s="4" t="s">
        <v>26</v>
      </c>
    </row>
  </sheetData>
  <dataValidations count="1">
    <dataValidation type="date" operator="greaterThan" showErrorMessage="1" error="Enter a date, e.g. 16-Oct-2026" sqref="B4">
      <formula1>45000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43"/>
  <sheetViews>
    <sheetView workbookViewId="0">
      <pane ySplit="3" topLeftCell="A4" activePane="bottomLeft" state="frozen"/>
      <selection/>
      <selection pane="bottomLeft" activeCell="B23" sqref="B23"/>
    </sheetView>
  </sheetViews>
  <sheetFormatPr defaultColWidth="8.67592592592593" defaultRowHeight="14.4" outlineLevelCol="5"/>
  <cols>
    <col min="1" max="1" width="16" customWidth="1"/>
    <col min="2" max="2" width="18" customWidth="1"/>
    <col min="3" max="6" width="11" customWidth="1"/>
  </cols>
  <sheetData>
    <row r="1" ht="17.4" spans="1:6">
      <c r="A1" s="1" t="s">
        <v>27</v>
      </c>
    </row>
    <row r="2" spans="1:6">
      <c r="A2" s="2" t="s">
        <v>28</v>
      </c>
    </row>
    <row r="3" ht="30" customHeight="1" spans="1:6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spans="1:6">
      <c r="A4" s="4" t="s">
        <v>35</v>
      </c>
      <c r="B4" s="13" t="s">
        <v>36</v>
      </c>
      <c r="C4" s="16">
        <v>4</v>
      </c>
      <c r="D4" s="16">
        <v>3</v>
      </c>
      <c r="E4" s="16">
        <v>4</v>
      </c>
      <c r="F4" s="18">
        <f t="shared" ref="F4:F24" si="0">IF(C4&gt;0,E4/C4,"")</f>
        <v>1</v>
      </c>
    </row>
    <row r="5" spans="1:6">
      <c r="A5" s="4" t="s">
        <v>35</v>
      </c>
      <c r="B5" s="13" t="s">
        <v>37</v>
      </c>
      <c r="C5" s="16">
        <v>7</v>
      </c>
      <c r="D5" s="16">
        <v>7</v>
      </c>
      <c r="E5" s="16">
        <v>7</v>
      </c>
      <c r="F5" s="18">
        <f t="shared" si="0"/>
        <v>1</v>
      </c>
    </row>
    <row r="6" spans="1:6">
      <c r="A6" s="4" t="s">
        <v>35</v>
      </c>
      <c r="B6" s="13" t="s">
        <v>38</v>
      </c>
      <c r="C6" s="16">
        <v>3</v>
      </c>
      <c r="D6" s="16">
        <v>3</v>
      </c>
      <c r="E6" s="16">
        <v>3</v>
      </c>
      <c r="F6" s="18">
        <f t="shared" si="0"/>
        <v>1</v>
      </c>
    </row>
    <row r="7" spans="1:6">
      <c r="A7" s="4" t="s">
        <v>35</v>
      </c>
      <c r="B7" s="13" t="s">
        <v>39</v>
      </c>
      <c r="C7" s="16">
        <v>7</v>
      </c>
      <c r="D7" s="16">
        <v>7</v>
      </c>
      <c r="E7" s="16">
        <v>7</v>
      </c>
      <c r="F7" s="18">
        <f t="shared" si="0"/>
        <v>1</v>
      </c>
    </row>
    <row r="8" spans="1:6">
      <c r="A8" s="4" t="s">
        <v>35</v>
      </c>
      <c r="B8" s="13" t="s">
        <v>40</v>
      </c>
      <c r="C8" s="16">
        <v>4</v>
      </c>
      <c r="D8" s="16">
        <v>4</v>
      </c>
      <c r="E8" s="16">
        <v>4</v>
      </c>
      <c r="F8" s="18">
        <f t="shared" si="0"/>
        <v>1</v>
      </c>
    </row>
    <row r="9" spans="1:6">
      <c r="A9" s="19" t="s">
        <v>41</v>
      </c>
      <c r="B9" s="13" t="s">
        <v>42</v>
      </c>
      <c r="C9" s="16">
        <v>8</v>
      </c>
      <c r="D9" s="16">
        <v>8</v>
      </c>
      <c r="E9" s="16">
        <v>8</v>
      </c>
      <c r="F9" s="18">
        <f t="shared" si="0"/>
        <v>1</v>
      </c>
    </row>
    <row r="10" spans="1:6">
      <c r="A10" s="19" t="s">
        <v>41</v>
      </c>
      <c r="B10" s="13" t="s">
        <v>43</v>
      </c>
      <c r="C10" s="16">
        <v>12</v>
      </c>
      <c r="D10" s="16">
        <v>11</v>
      </c>
      <c r="E10" s="16">
        <v>12</v>
      </c>
      <c r="F10" s="18">
        <f t="shared" si="0"/>
        <v>1</v>
      </c>
    </row>
    <row r="11" spans="1:6">
      <c r="A11" s="19" t="s">
        <v>44</v>
      </c>
      <c r="B11" s="13" t="s">
        <v>45</v>
      </c>
      <c r="C11" s="16">
        <v>22</v>
      </c>
      <c r="D11" s="16">
        <v>23</v>
      </c>
      <c r="E11" s="16">
        <v>22</v>
      </c>
      <c r="F11" s="20">
        <f t="shared" si="0"/>
        <v>1</v>
      </c>
    </row>
    <row r="12" spans="1:6">
      <c r="A12" s="19" t="s">
        <v>44</v>
      </c>
      <c r="B12" s="13" t="s">
        <v>46</v>
      </c>
      <c r="C12" s="16">
        <v>41</v>
      </c>
      <c r="D12" s="16">
        <v>42</v>
      </c>
      <c r="E12" s="16">
        <v>41</v>
      </c>
      <c r="F12" s="20">
        <f t="shared" si="0"/>
        <v>1</v>
      </c>
    </row>
    <row r="13" spans="1:6">
      <c r="A13" s="19" t="s">
        <v>47</v>
      </c>
      <c r="B13" s="13" t="s">
        <v>48</v>
      </c>
      <c r="C13" s="16">
        <v>14</v>
      </c>
      <c r="D13" s="16">
        <v>14</v>
      </c>
      <c r="E13" s="16">
        <v>14</v>
      </c>
      <c r="F13" s="20">
        <f t="shared" si="0"/>
        <v>1</v>
      </c>
    </row>
    <row r="14" spans="1:6">
      <c r="A14" s="19" t="s">
        <v>49</v>
      </c>
      <c r="B14" s="13" t="s">
        <v>50</v>
      </c>
      <c r="C14" s="16">
        <v>5</v>
      </c>
      <c r="D14" s="16">
        <v>5</v>
      </c>
      <c r="E14" s="16">
        <v>5</v>
      </c>
      <c r="F14" s="20">
        <f t="shared" si="0"/>
        <v>1</v>
      </c>
    </row>
    <row r="15" spans="1:6">
      <c r="A15" s="19" t="s">
        <v>49</v>
      </c>
      <c r="B15" s="13" t="s">
        <v>51</v>
      </c>
      <c r="C15" s="16">
        <v>10</v>
      </c>
      <c r="D15" s="16">
        <v>11</v>
      </c>
      <c r="E15" s="16">
        <v>10</v>
      </c>
      <c r="F15" s="20">
        <f t="shared" si="0"/>
        <v>1</v>
      </c>
    </row>
    <row r="16" spans="1:6">
      <c r="A16" s="19" t="s">
        <v>52</v>
      </c>
      <c r="B16" s="13" t="s">
        <v>53</v>
      </c>
      <c r="C16" s="16">
        <v>3</v>
      </c>
      <c r="D16" s="16">
        <v>3</v>
      </c>
      <c r="E16" s="16">
        <v>3</v>
      </c>
      <c r="F16" s="20">
        <f t="shared" si="0"/>
        <v>1</v>
      </c>
    </row>
    <row r="17" spans="1:6">
      <c r="A17" s="19" t="s">
        <v>52</v>
      </c>
      <c r="B17" s="13" t="s">
        <v>54</v>
      </c>
      <c r="C17" s="16">
        <v>2</v>
      </c>
      <c r="D17" s="16">
        <v>2</v>
      </c>
      <c r="E17" s="16">
        <v>2</v>
      </c>
      <c r="F17" s="20">
        <f t="shared" si="0"/>
        <v>1</v>
      </c>
    </row>
    <row r="18" spans="1:6">
      <c r="A18" s="19" t="s">
        <v>52</v>
      </c>
      <c r="B18" s="13" t="s">
        <v>55</v>
      </c>
      <c r="C18" s="16">
        <v>1</v>
      </c>
      <c r="D18" s="16">
        <v>1</v>
      </c>
      <c r="E18" s="16">
        <v>1</v>
      </c>
      <c r="F18" s="20">
        <f t="shared" si="0"/>
        <v>1</v>
      </c>
    </row>
    <row r="19" spans="1:6">
      <c r="A19" s="19" t="s">
        <v>52</v>
      </c>
      <c r="B19" s="13" t="s">
        <v>56</v>
      </c>
      <c r="C19" s="16">
        <v>2</v>
      </c>
      <c r="D19" s="16">
        <v>2</v>
      </c>
      <c r="E19" s="16">
        <v>2</v>
      </c>
      <c r="F19" s="20">
        <f t="shared" si="0"/>
        <v>1</v>
      </c>
    </row>
    <row r="20" spans="1:6">
      <c r="A20" s="19" t="s">
        <v>52</v>
      </c>
      <c r="B20" s="13" t="s">
        <v>57</v>
      </c>
      <c r="C20" s="16">
        <v>5</v>
      </c>
      <c r="D20" s="16">
        <v>5</v>
      </c>
      <c r="E20" s="16">
        <v>5</v>
      </c>
      <c r="F20" s="20">
        <f t="shared" si="0"/>
        <v>1</v>
      </c>
    </row>
    <row r="21" spans="1:6">
      <c r="A21" s="19" t="s">
        <v>52</v>
      </c>
      <c r="B21" s="13" t="s">
        <v>58</v>
      </c>
      <c r="C21" s="16">
        <v>1</v>
      </c>
      <c r="D21" s="16">
        <v>1</v>
      </c>
      <c r="E21" s="16">
        <v>1</v>
      </c>
      <c r="F21" s="20">
        <f t="shared" si="0"/>
        <v>1</v>
      </c>
    </row>
    <row r="22" spans="1:6">
      <c r="A22" s="19" t="s">
        <v>52</v>
      </c>
      <c r="B22" s="13" t="s">
        <v>59</v>
      </c>
      <c r="C22" s="16">
        <v>3</v>
      </c>
      <c r="D22" s="16">
        <v>3</v>
      </c>
      <c r="E22" s="16">
        <v>3</v>
      </c>
      <c r="F22" s="20">
        <f t="shared" si="0"/>
        <v>1</v>
      </c>
    </row>
    <row r="23" spans="1:6">
      <c r="A23" s="19" t="s">
        <v>52</v>
      </c>
      <c r="B23" s="13" t="s">
        <v>60</v>
      </c>
      <c r="C23" s="16">
        <v>1</v>
      </c>
      <c r="D23" s="16">
        <v>1</v>
      </c>
      <c r="E23" s="16">
        <v>0</v>
      </c>
      <c r="F23" s="20">
        <f t="shared" si="0"/>
        <v>0</v>
      </c>
    </row>
    <row r="24" spans="1:6">
      <c r="A24" s="19" t="s">
        <v>52</v>
      </c>
      <c r="B24" s="13" t="s">
        <v>61</v>
      </c>
      <c r="C24" s="16">
        <v>3</v>
      </c>
      <c r="D24" s="16">
        <v>3</v>
      </c>
      <c r="E24" s="16">
        <v>3</v>
      </c>
      <c r="F24" s="20">
        <f t="shared" si="0"/>
        <v>1</v>
      </c>
    </row>
    <row r="25" spans="1:6">
      <c r="A25" s="19"/>
      <c r="B25" s="13"/>
      <c r="C25" s="16"/>
      <c r="D25" s="16"/>
      <c r="E25" s="16"/>
      <c r="F25" s="11"/>
    </row>
    <row r="26" spans="1:6">
      <c r="A26" s="19"/>
      <c r="B26" s="13"/>
      <c r="C26" s="16"/>
      <c r="D26" s="16"/>
      <c r="E26" s="16"/>
      <c r="F26" s="21"/>
    </row>
    <row r="27" spans="1:6">
      <c r="A27" s="19"/>
      <c r="B27" s="13"/>
      <c r="C27" s="16"/>
      <c r="D27" s="16"/>
      <c r="E27" s="16"/>
      <c r="F27" s="21"/>
    </row>
    <row r="28" spans="1:6">
      <c r="A28" s="19"/>
      <c r="B28" s="13"/>
      <c r="C28" s="16"/>
      <c r="D28" s="16"/>
      <c r="E28" s="16"/>
      <c r="F28" s="21"/>
    </row>
    <row r="29" spans="1:6">
      <c r="A29" s="4"/>
      <c r="B29" s="4"/>
      <c r="C29" s="6"/>
      <c r="D29" s="6"/>
      <c r="E29" s="6"/>
      <c r="F29" s="11"/>
    </row>
    <row r="30" spans="1:6">
      <c r="A30" s="4"/>
      <c r="B30" s="4"/>
      <c r="C30" s="6"/>
      <c r="D30" s="6"/>
      <c r="E30" s="6"/>
      <c r="F30" s="11" t="str">
        <f t="shared" ref="F29:F43" si="1">IF(C30&gt;0,E30/C30,"")</f>
        <v/>
      </c>
    </row>
    <row r="31" spans="1:6">
      <c r="A31" s="4"/>
      <c r="B31" s="4"/>
      <c r="C31" s="6"/>
      <c r="D31" s="6"/>
      <c r="E31" s="6"/>
      <c r="F31" s="11" t="str">
        <f t="shared" si="1"/>
        <v/>
      </c>
    </row>
    <row r="32" spans="1:6">
      <c r="A32" s="4"/>
      <c r="B32" s="4"/>
      <c r="C32" s="6"/>
      <c r="D32" s="6"/>
      <c r="E32" s="6"/>
      <c r="F32" s="11" t="str">
        <f t="shared" si="1"/>
        <v/>
      </c>
    </row>
    <row r="33" spans="1:6">
      <c r="A33" s="4"/>
      <c r="B33" s="4"/>
      <c r="C33" s="6"/>
      <c r="D33" s="6"/>
      <c r="E33" s="6"/>
      <c r="F33" s="11" t="str">
        <f t="shared" si="1"/>
        <v/>
      </c>
    </row>
    <row r="34" spans="1:6">
      <c r="A34" s="4"/>
      <c r="B34" s="4"/>
      <c r="C34" s="6"/>
      <c r="D34" s="6"/>
      <c r="E34" s="6"/>
      <c r="F34" s="11" t="str">
        <f t="shared" si="1"/>
        <v/>
      </c>
    </row>
    <row r="35" spans="1:6">
      <c r="A35" s="4"/>
      <c r="B35" s="4"/>
      <c r="C35" s="6"/>
      <c r="D35" s="6"/>
      <c r="E35" s="6"/>
      <c r="F35" s="11" t="str">
        <f t="shared" si="1"/>
        <v/>
      </c>
    </row>
    <row r="36" spans="1:6">
      <c r="A36" s="4"/>
      <c r="B36" s="4"/>
      <c r="C36" s="6"/>
      <c r="D36" s="6"/>
      <c r="E36" s="6"/>
      <c r="F36" s="11" t="str">
        <f t="shared" si="1"/>
        <v/>
      </c>
    </row>
    <row r="37" spans="1:6">
      <c r="A37" s="4"/>
      <c r="B37" s="4"/>
      <c r="C37" s="6"/>
      <c r="D37" s="6"/>
      <c r="E37" s="6"/>
      <c r="F37" s="11" t="str">
        <f t="shared" si="1"/>
        <v/>
      </c>
    </row>
    <row r="38" spans="1:6">
      <c r="A38" s="4"/>
      <c r="B38" s="4"/>
      <c r="C38" s="6"/>
      <c r="D38" s="6"/>
      <c r="E38" s="6"/>
      <c r="F38" s="11" t="str">
        <f t="shared" si="1"/>
        <v/>
      </c>
    </row>
    <row r="39" spans="1:6">
      <c r="A39" s="4"/>
      <c r="B39" s="4"/>
      <c r="C39" s="6"/>
      <c r="D39" s="6"/>
      <c r="E39" s="6"/>
      <c r="F39" s="11" t="str">
        <f t="shared" si="1"/>
        <v/>
      </c>
    </row>
    <row r="40" spans="1:6">
      <c r="A40" s="4"/>
      <c r="B40" s="4"/>
      <c r="C40" s="6"/>
      <c r="D40" s="6"/>
      <c r="E40" s="6"/>
      <c r="F40" s="11" t="str">
        <f t="shared" si="1"/>
        <v/>
      </c>
    </row>
    <row r="41" spans="1:6">
      <c r="A41" s="4"/>
      <c r="B41" s="4"/>
      <c r="C41" s="6"/>
      <c r="D41" s="6"/>
      <c r="E41" s="6"/>
      <c r="F41" s="11" t="str">
        <f t="shared" si="1"/>
        <v/>
      </c>
    </row>
    <row r="42" spans="1:6">
      <c r="A42" s="4"/>
      <c r="B42" s="4"/>
      <c r="C42" s="6"/>
      <c r="D42" s="6"/>
      <c r="E42" s="6"/>
      <c r="F42" s="11" t="str">
        <f t="shared" si="1"/>
        <v/>
      </c>
    </row>
    <row r="43" spans="1:6">
      <c r="A43" s="4"/>
      <c r="B43" s="4"/>
      <c r="C43" s="6"/>
      <c r="D43" s="6"/>
      <c r="E43" s="6"/>
      <c r="F43" s="11" t="str">
        <f t="shared" si="1"/>
        <v/>
      </c>
    </row>
  </sheetData>
  <dataValidations count="2">
    <dataValidation type="list" allowBlank="1" error="Pick a value from the list" sqref="A11 A12 A15 A4:A8 A9:A10 A13:A14 A16:A24 A25:A43">
      <formula1>"P1~3,P4~5,P6,P7,P8,P9-Non Priority"</formula1>
    </dataValidation>
    <dataValidation type="decimal" operator="between" allowBlank="1" showErrorMessage="1" error="Numbers only" sqref="C4:E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A4" sqref="A4"/>
    </sheetView>
  </sheetViews>
  <sheetFormatPr defaultColWidth="8.67592592592593" defaultRowHeight="14.4" outlineLevelCol="3"/>
  <cols>
    <col min="1" max="1" width="16" customWidth="1"/>
    <col min="2" max="4" width="10" customWidth="1"/>
  </cols>
  <sheetData>
    <row r="1" ht="17.4" spans="1:4">
      <c r="A1" s="1" t="s">
        <v>62</v>
      </c>
    </row>
    <row r="2" spans="1:4">
      <c r="A2" s="2" t="s">
        <v>63</v>
      </c>
    </row>
    <row r="3" ht="30" customHeight="1" spans="1:4">
      <c r="A3" s="3" t="s">
        <v>64</v>
      </c>
      <c r="B3" s="3" t="s">
        <v>65</v>
      </c>
      <c r="C3" s="3" t="s">
        <v>66</v>
      </c>
      <c r="D3" s="3" t="s">
        <v>67</v>
      </c>
    </row>
    <row r="4" spans="1:4">
      <c r="A4" s="4" t="s">
        <v>45</v>
      </c>
      <c r="B4" s="6">
        <v>4</v>
      </c>
      <c r="C4" s="6"/>
      <c r="D4" s="17">
        <f>IF(A4="","",B4+C4)</f>
        <v>4</v>
      </c>
    </row>
    <row r="5" spans="1:4">
      <c r="A5" s="4" t="s">
        <v>46</v>
      </c>
      <c r="B5" s="6">
        <v>8</v>
      </c>
      <c r="C5" s="6"/>
      <c r="D5" s="17">
        <f t="shared" ref="D4:D15" si="0">IF(A5="","",B5+C5)</f>
        <v>8</v>
      </c>
    </row>
    <row r="6" spans="1:4">
      <c r="A6" s="4" t="s">
        <v>53</v>
      </c>
      <c r="B6" s="6">
        <v>1</v>
      </c>
      <c r="C6" s="6"/>
      <c r="D6" s="17">
        <f t="shared" si="0"/>
        <v>1</v>
      </c>
    </row>
    <row r="7" spans="1:4">
      <c r="A7" s="4" t="s">
        <v>50</v>
      </c>
      <c r="B7" s="6">
        <v>1</v>
      </c>
      <c r="C7" s="6"/>
      <c r="D7" s="17">
        <f t="shared" si="0"/>
        <v>1</v>
      </c>
    </row>
    <row r="8" spans="1:4">
      <c r="A8" s="4" t="s">
        <v>37</v>
      </c>
      <c r="B8" s="6">
        <v>3</v>
      </c>
      <c r="C8" s="6">
        <v>2</v>
      </c>
      <c r="D8" s="17">
        <f t="shared" si="0"/>
        <v>5</v>
      </c>
    </row>
    <row r="9" spans="1:4">
      <c r="A9" s="4" t="s">
        <v>38</v>
      </c>
      <c r="B9" s="6">
        <v>2</v>
      </c>
      <c r="C9" s="6">
        <v>1</v>
      </c>
      <c r="D9" s="17">
        <f t="shared" si="0"/>
        <v>3</v>
      </c>
    </row>
    <row r="10" spans="1:4">
      <c r="A10" s="4" t="s">
        <v>48</v>
      </c>
      <c r="B10" s="6"/>
      <c r="C10" s="6">
        <v>1</v>
      </c>
      <c r="D10" s="17">
        <f t="shared" si="0"/>
        <v>1</v>
      </c>
    </row>
    <row r="11" spans="1:4">
      <c r="A11" s="4" t="s">
        <v>54</v>
      </c>
      <c r="B11" s="6">
        <v>2</v>
      </c>
      <c r="C11" s="6"/>
      <c r="D11" s="17">
        <f t="shared" si="0"/>
        <v>2</v>
      </c>
    </row>
    <row r="12" spans="1:4">
      <c r="A12" s="4" t="s">
        <v>42</v>
      </c>
      <c r="B12" s="6"/>
      <c r="C12" s="6">
        <v>1</v>
      </c>
      <c r="D12" s="17">
        <f t="shared" si="0"/>
        <v>1</v>
      </c>
    </row>
    <row r="13" spans="1:4">
      <c r="A13" s="4" t="s">
        <v>43</v>
      </c>
      <c r="B13" s="6">
        <v>4</v>
      </c>
      <c r="C13" s="6">
        <v>1</v>
      </c>
      <c r="D13" s="17">
        <f t="shared" si="0"/>
        <v>5</v>
      </c>
    </row>
    <row r="14" spans="1:4">
      <c r="A14" s="4" t="s">
        <v>39</v>
      </c>
      <c r="B14" s="6">
        <v>1</v>
      </c>
      <c r="C14" s="6">
        <v>1</v>
      </c>
      <c r="D14" s="17">
        <f t="shared" si="0"/>
        <v>2</v>
      </c>
    </row>
    <row r="15" spans="1:4">
      <c r="A15" s="4" t="s">
        <v>59</v>
      </c>
      <c r="B15" s="6">
        <v>3</v>
      </c>
      <c r="C15" s="6"/>
      <c r="D15" s="17">
        <f t="shared" si="0"/>
        <v>3</v>
      </c>
    </row>
    <row r="16" spans="1:4">
      <c r="A16" s="4"/>
      <c r="B16" s="6"/>
      <c r="C16" s="6"/>
      <c r="D16" s="17" t="str">
        <f t="shared" ref="D4:D28" si="1">IF(A16="","",B16+C16)</f>
        <v/>
      </c>
    </row>
    <row r="17" spans="1:4">
      <c r="A17" s="4"/>
      <c r="B17" s="6"/>
      <c r="C17" s="6"/>
      <c r="D17" s="17" t="str">
        <f t="shared" si="1"/>
        <v/>
      </c>
    </row>
    <row r="18" spans="1:4">
      <c r="A18" s="4"/>
      <c r="B18" s="6"/>
      <c r="C18" s="6"/>
      <c r="D18" s="17" t="str">
        <f t="shared" si="1"/>
        <v/>
      </c>
    </row>
    <row r="19" spans="1:4">
      <c r="A19" s="4"/>
      <c r="B19" s="6"/>
      <c r="C19" s="6"/>
      <c r="D19" s="17" t="str">
        <f t="shared" si="1"/>
        <v/>
      </c>
    </row>
    <row r="20" spans="1:4">
      <c r="A20" s="4"/>
      <c r="B20" s="6"/>
      <c r="C20" s="6"/>
      <c r="D20" s="17" t="str">
        <f t="shared" si="1"/>
        <v/>
      </c>
    </row>
    <row r="21" spans="1:4">
      <c r="A21" s="4"/>
      <c r="B21" s="6"/>
      <c r="C21" s="6"/>
      <c r="D21" s="17" t="str">
        <f t="shared" si="1"/>
        <v/>
      </c>
    </row>
    <row r="22" spans="1:4">
      <c r="A22" s="4"/>
      <c r="B22" s="6"/>
      <c r="C22" s="6"/>
      <c r="D22" s="17" t="str">
        <f t="shared" si="1"/>
        <v/>
      </c>
    </row>
    <row r="23" spans="1:4">
      <c r="A23" s="4"/>
      <c r="B23" s="6"/>
      <c r="C23" s="6"/>
      <c r="D23" s="17" t="str">
        <f t="shared" si="1"/>
        <v/>
      </c>
    </row>
    <row r="24" spans="1:4">
      <c r="A24" s="4"/>
      <c r="B24" s="6"/>
      <c r="C24" s="6"/>
      <c r="D24" s="17" t="str">
        <f t="shared" si="1"/>
        <v/>
      </c>
    </row>
    <row r="25" spans="1:4">
      <c r="A25" s="4"/>
      <c r="B25" s="6"/>
      <c r="C25" s="6"/>
      <c r="D25" s="17" t="str">
        <f t="shared" si="1"/>
        <v/>
      </c>
    </row>
    <row r="26" spans="1:4">
      <c r="A26" s="4"/>
      <c r="B26" s="6"/>
      <c r="C26" s="6"/>
      <c r="D26" s="17" t="str">
        <f t="shared" si="1"/>
        <v/>
      </c>
    </row>
    <row r="27" spans="1:4">
      <c r="A27" s="4"/>
      <c r="B27" s="6"/>
      <c r="C27" s="6"/>
      <c r="D27" s="17" t="str">
        <f t="shared" si="1"/>
        <v/>
      </c>
    </row>
    <row r="28" spans="1:4">
      <c r="A28" s="4"/>
      <c r="B28" s="6"/>
      <c r="C28" s="6"/>
      <c r="D28" s="17" t="str">
        <f t="shared" si="1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K21" sqref="K21"/>
    </sheetView>
  </sheetViews>
  <sheetFormatPr defaultColWidth="8.67592592592593" defaultRowHeight="14.4" outlineLevelCol="3"/>
  <cols>
    <col min="1" max="1" width="12" customWidth="1"/>
    <col min="2" max="4" width="11" customWidth="1"/>
  </cols>
  <sheetData>
    <row r="1" ht="17.4" spans="1:4">
      <c r="A1" s="1" t="s">
        <v>68</v>
      </c>
    </row>
    <row r="2" spans="1:4">
      <c r="A2" s="2" t="s">
        <v>69</v>
      </c>
    </row>
    <row r="3" ht="30" customHeight="1" spans="1:4">
      <c r="A3" s="3" t="s">
        <v>70</v>
      </c>
      <c r="B3" s="3" t="s">
        <v>31</v>
      </c>
      <c r="C3" s="3" t="s">
        <v>33</v>
      </c>
      <c r="D3" s="3" t="s">
        <v>34</v>
      </c>
    </row>
    <row r="4" spans="1:4">
      <c r="A4" s="4" t="s">
        <v>71</v>
      </c>
      <c r="B4" s="6">
        <v>158</v>
      </c>
      <c r="C4" s="6">
        <v>157</v>
      </c>
      <c r="D4" s="11">
        <f t="shared" ref="D4:D15" si="0">IF(B4&gt;0,C4/B4,"")</f>
        <v>0.993670886075949</v>
      </c>
    </row>
    <row r="5" spans="1:4">
      <c r="A5" s="4" t="s">
        <v>72</v>
      </c>
      <c r="B5" s="6">
        <v>15</v>
      </c>
      <c r="C5" s="6">
        <v>14</v>
      </c>
      <c r="D5" s="11">
        <f t="shared" si="0"/>
        <v>0.933333333333333</v>
      </c>
    </row>
    <row r="6" spans="1:4">
      <c r="A6" s="4" t="s">
        <v>73</v>
      </c>
      <c r="B6" s="6">
        <v>6</v>
      </c>
      <c r="C6" s="6">
        <v>6</v>
      </c>
      <c r="D6" s="11">
        <f t="shared" si="0"/>
        <v>1</v>
      </c>
    </row>
    <row r="7" spans="1:4">
      <c r="A7" s="4" t="s">
        <v>74</v>
      </c>
      <c r="B7" s="6">
        <v>54</v>
      </c>
      <c r="C7" s="6">
        <v>54</v>
      </c>
      <c r="D7" s="11">
        <f t="shared" si="0"/>
        <v>1</v>
      </c>
    </row>
    <row r="8" spans="1:4">
      <c r="A8" s="4" t="s">
        <v>75</v>
      </c>
      <c r="B8" s="6">
        <v>11</v>
      </c>
      <c r="C8" s="6">
        <v>10</v>
      </c>
      <c r="D8" s="11">
        <f t="shared" si="0"/>
        <v>0.909090909090909</v>
      </c>
    </row>
    <row r="9" spans="1:4">
      <c r="A9" s="4" t="s">
        <v>76</v>
      </c>
      <c r="B9" s="6">
        <v>4</v>
      </c>
      <c r="C9" s="6">
        <v>4</v>
      </c>
      <c r="D9" s="11">
        <f t="shared" si="0"/>
        <v>1</v>
      </c>
    </row>
    <row r="10" spans="1:4">
      <c r="A10" s="4" t="s">
        <v>77</v>
      </c>
      <c r="B10" s="6">
        <v>12</v>
      </c>
      <c r="C10" s="6">
        <v>9</v>
      </c>
      <c r="D10" s="11">
        <f t="shared" si="0"/>
        <v>0.75</v>
      </c>
    </row>
    <row r="11" spans="1:4">
      <c r="A11" s="4" t="s">
        <v>78</v>
      </c>
      <c r="B11" s="6">
        <v>6</v>
      </c>
      <c r="C11" s="6">
        <v>6</v>
      </c>
      <c r="D11" s="11">
        <f t="shared" si="0"/>
        <v>1</v>
      </c>
    </row>
    <row r="12" spans="1:4">
      <c r="A12" s="4" t="s">
        <v>79</v>
      </c>
      <c r="B12" s="6">
        <v>5</v>
      </c>
      <c r="C12" s="6">
        <v>5</v>
      </c>
      <c r="D12" s="11">
        <f t="shared" si="0"/>
        <v>1</v>
      </c>
    </row>
    <row r="13" spans="1:4">
      <c r="A13" s="4"/>
      <c r="B13" s="6"/>
      <c r="C13" s="6"/>
      <c r="D13" s="11" t="str">
        <f t="shared" si="0"/>
        <v/>
      </c>
    </row>
    <row r="14" spans="1:4">
      <c r="A14" s="4"/>
      <c r="B14" s="6"/>
      <c r="C14" s="6"/>
      <c r="D14" s="11" t="str">
        <f t="shared" si="0"/>
        <v/>
      </c>
    </row>
    <row r="15" spans="1:4">
      <c r="A15" s="4"/>
      <c r="B15" s="6"/>
      <c r="C15" s="6"/>
      <c r="D15" s="11" t="str">
        <f t="shared" si="0"/>
        <v/>
      </c>
    </row>
    <row r="16" spans="1:4">
      <c r="A16" s="4"/>
      <c r="B16" s="6"/>
      <c r="C16" s="6"/>
      <c r="D16" s="11" t="str">
        <f t="shared" ref="D4:D28" si="1">IF(B16&gt;0,C16/B16,"")</f>
        <v/>
      </c>
    </row>
    <row r="17" spans="1:4">
      <c r="A17" s="4"/>
      <c r="B17" s="6"/>
      <c r="C17" s="6"/>
      <c r="D17" s="11" t="str">
        <f t="shared" si="1"/>
        <v/>
      </c>
    </row>
    <row r="18" spans="1:4">
      <c r="A18" s="4"/>
      <c r="B18" s="6"/>
      <c r="C18" s="6"/>
      <c r="D18" s="11" t="str">
        <f t="shared" si="1"/>
        <v/>
      </c>
    </row>
    <row r="19" spans="1:4">
      <c r="A19" s="4"/>
      <c r="B19" s="6"/>
      <c r="C19" s="6"/>
      <c r="D19" s="11" t="str">
        <f t="shared" si="1"/>
        <v/>
      </c>
    </row>
    <row r="20" spans="1:4">
      <c r="A20" s="4"/>
      <c r="B20" s="6"/>
      <c r="C20" s="6"/>
      <c r="D20" s="11" t="str">
        <f t="shared" si="1"/>
        <v/>
      </c>
    </row>
    <row r="21" spans="1:4">
      <c r="A21" s="4"/>
      <c r="B21" s="6"/>
      <c r="C21" s="6"/>
      <c r="D21" s="11" t="str">
        <f t="shared" si="1"/>
        <v/>
      </c>
    </row>
    <row r="22" spans="1:4">
      <c r="A22" s="4"/>
      <c r="B22" s="6"/>
      <c r="C22" s="6"/>
      <c r="D22" s="11" t="str">
        <f t="shared" si="1"/>
        <v/>
      </c>
    </row>
    <row r="23" spans="1:4">
      <c r="A23" s="4"/>
      <c r="B23" s="6"/>
      <c r="C23" s="6"/>
      <c r="D23" s="11" t="str">
        <f t="shared" si="1"/>
        <v/>
      </c>
    </row>
    <row r="24" spans="1:4">
      <c r="A24" s="4"/>
      <c r="B24" s="6"/>
      <c r="C24" s="6"/>
      <c r="D24" s="11" t="str">
        <f t="shared" si="1"/>
        <v/>
      </c>
    </row>
    <row r="25" spans="1:4">
      <c r="A25" s="4"/>
      <c r="B25" s="6"/>
      <c r="C25" s="6"/>
      <c r="D25" s="11" t="str">
        <f t="shared" si="1"/>
        <v/>
      </c>
    </row>
    <row r="26" spans="1:4">
      <c r="A26" s="4"/>
      <c r="B26" s="6"/>
      <c r="C26" s="6"/>
      <c r="D26" s="11" t="str">
        <f t="shared" si="1"/>
        <v/>
      </c>
    </row>
    <row r="27" spans="1:4">
      <c r="A27" s="4"/>
      <c r="B27" s="6"/>
      <c r="C27" s="6"/>
      <c r="D27" s="11" t="str">
        <f t="shared" si="1"/>
        <v/>
      </c>
    </row>
    <row r="28" spans="1:4">
      <c r="A28" s="4"/>
      <c r="B28" s="6"/>
      <c r="C28" s="6"/>
      <c r="D28" s="11" t="str">
        <f t="shared" si="1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B9"/>
  <sheetViews>
    <sheetView workbookViewId="0">
      <pane ySplit="3" topLeftCell="A4" activePane="bottomLeft" state="frozen"/>
      <selection/>
      <selection pane="bottomLeft" activeCell="J17" sqref="J17"/>
    </sheetView>
  </sheetViews>
  <sheetFormatPr defaultColWidth="8.67592592592593" defaultRowHeight="14.4" outlineLevelCol="1"/>
  <cols>
    <col min="1" max="1" width="30" customWidth="1"/>
    <col min="2" max="2" width="10" customWidth="1"/>
  </cols>
  <sheetData>
    <row r="1" ht="17.4" spans="1:2">
      <c r="A1" s="1" t="s">
        <v>80</v>
      </c>
    </row>
    <row r="2" spans="1:2">
      <c r="A2" s="2" t="s">
        <v>81</v>
      </c>
    </row>
    <row r="3" ht="30" customHeight="1" spans="1:2">
      <c r="A3" s="3" t="s">
        <v>16</v>
      </c>
      <c r="B3" s="3" t="s">
        <v>82</v>
      </c>
    </row>
    <row r="4" spans="1:2">
      <c r="A4" s="4" t="s">
        <v>83</v>
      </c>
      <c r="B4" s="6">
        <v>2</v>
      </c>
    </row>
    <row r="5" spans="1:2">
      <c r="A5" s="4" t="s">
        <v>84</v>
      </c>
      <c r="B5" s="6">
        <v>3</v>
      </c>
    </row>
    <row r="6" spans="1:2">
      <c r="A6" s="4" t="s">
        <v>85</v>
      </c>
      <c r="B6" s="6">
        <v>-1</v>
      </c>
    </row>
    <row r="7" spans="1:2">
      <c r="A7" s="4" t="s">
        <v>86</v>
      </c>
      <c r="B7" s="6">
        <v>36</v>
      </c>
    </row>
    <row r="8" spans="1:2">
      <c r="A8" s="4" t="s">
        <v>87</v>
      </c>
      <c r="B8" s="6">
        <v>121</v>
      </c>
    </row>
    <row r="9" spans="1:2">
      <c r="A9" s="4"/>
      <c r="B9" s="6"/>
    </row>
  </sheetData>
  <dataValidations count="1">
    <dataValidation type="decimal" operator="between" allowBlank="1" showErrorMessage="1" error="Numbers only" sqref="B4:B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23"/>
  <sheetViews>
    <sheetView workbookViewId="0">
      <pane ySplit="3" topLeftCell="A4" activePane="bottomLeft" state="frozen"/>
      <selection/>
      <selection pane="bottomLeft" activeCell="A4" sqref="A4:F11"/>
    </sheetView>
  </sheetViews>
  <sheetFormatPr defaultColWidth="8.67592592592593" defaultRowHeight="14.4" outlineLevelCol="5"/>
  <cols>
    <col min="1" max="1" width="14" customWidth="1"/>
    <col min="2" max="3" width="9" customWidth="1"/>
    <col min="4" max="4" width="18" customWidth="1"/>
    <col min="5" max="5" width="20" customWidth="1"/>
    <col min="6" max="6" width="17" customWidth="1"/>
  </cols>
  <sheetData>
    <row r="1" ht="17.4" spans="1:6">
      <c r="A1" s="1" t="s">
        <v>88</v>
      </c>
    </row>
    <row r="2" spans="1:6">
      <c r="A2" s="2" t="s">
        <v>89</v>
      </c>
    </row>
    <row r="3" ht="30" customHeight="1" spans="1:6">
      <c r="A3" s="3" t="s">
        <v>90</v>
      </c>
      <c r="B3" s="3" t="s">
        <v>30</v>
      </c>
      <c r="C3" s="3" t="s">
        <v>91</v>
      </c>
      <c r="D3" s="3" t="s">
        <v>92</v>
      </c>
      <c r="E3" s="3" t="s">
        <v>93</v>
      </c>
      <c r="F3" s="3" t="s">
        <v>94</v>
      </c>
    </row>
    <row r="4" spans="1:6">
      <c r="A4" s="4" t="s">
        <v>95</v>
      </c>
      <c r="B4" s="6">
        <v>6</v>
      </c>
      <c r="C4" s="6">
        <v>6</v>
      </c>
      <c r="D4" s="6">
        <v>10</v>
      </c>
      <c r="E4" s="6">
        <v>4</v>
      </c>
      <c r="F4" s="6">
        <v>2</v>
      </c>
    </row>
    <row r="5" spans="1:6">
      <c r="A5" s="4" t="s">
        <v>96</v>
      </c>
      <c r="B5" s="6">
        <v>6</v>
      </c>
      <c r="C5" s="6">
        <v>6</v>
      </c>
      <c r="D5" s="6">
        <v>1</v>
      </c>
      <c r="E5" s="6">
        <v>8</v>
      </c>
      <c r="F5" s="6">
        <v>6</v>
      </c>
    </row>
    <row r="6" spans="1:6">
      <c r="A6" s="4" t="s">
        <v>97</v>
      </c>
      <c r="B6" s="6">
        <v>3</v>
      </c>
      <c r="C6" s="6">
        <v>3</v>
      </c>
      <c r="D6" s="6">
        <v>0</v>
      </c>
      <c r="E6" s="6">
        <v>4</v>
      </c>
      <c r="F6" s="6">
        <v>3</v>
      </c>
    </row>
    <row r="7" spans="1:6">
      <c r="A7" s="4" t="s">
        <v>98</v>
      </c>
      <c r="B7" s="6">
        <v>2</v>
      </c>
      <c r="C7" s="6">
        <v>2</v>
      </c>
      <c r="D7" s="6">
        <v>0</v>
      </c>
      <c r="E7" s="6">
        <v>0</v>
      </c>
      <c r="F7" s="6">
        <v>0</v>
      </c>
    </row>
    <row r="8" spans="1:6">
      <c r="A8" s="4" t="s">
        <v>72</v>
      </c>
      <c r="B8" s="6">
        <v>2</v>
      </c>
      <c r="C8" s="6">
        <v>2</v>
      </c>
      <c r="D8" s="6">
        <v>0</v>
      </c>
      <c r="E8" s="6">
        <v>3</v>
      </c>
      <c r="F8" s="6">
        <v>0</v>
      </c>
    </row>
    <row r="9" spans="1:6">
      <c r="A9" s="4" t="s">
        <v>79</v>
      </c>
      <c r="B9" s="6">
        <v>1</v>
      </c>
      <c r="C9" s="6">
        <v>1</v>
      </c>
      <c r="D9" s="6">
        <v>0</v>
      </c>
      <c r="E9" s="6">
        <v>0</v>
      </c>
      <c r="F9" s="6">
        <v>0</v>
      </c>
    </row>
    <row r="10" spans="1:6">
      <c r="A10" s="4" t="s">
        <v>73</v>
      </c>
      <c r="B10" s="6">
        <v>3</v>
      </c>
      <c r="C10" s="6">
        <v>1</v>
      </c>
      <c r="D10" s="6">
        <v>1</v>
      </c>
      <c r="E10" s="6">
        <v>1</v>
      </c>
      <c r="F10" s="6">
        <v>0</v>
      </c>
    </row>
    <row r="11" spans="1:6">
      <c r="A11" s="4" t="s">
        <v>76</v>
      </c>
      <c r="B11" s="6">
        <v>1</v>
      </c>
      <c r="C11" s="6">
        <v>1</v>
      </c>
      <c r="D11" s="6">
        <v>1</v>
      </c>
      <c r="E11" s="6">
        <v>0</v>
      </c>
      <c r="F11" s="6">
        <v>0</v>
      </c>
    </row>
    <row r="12" spans="1:6">
      <c r="A12" s="4"/>
      <c r="B12" s="6"/>
      <c r="C12" s="6"/>
      <c r="D12" s="6"/>
      <c r="E12" s="6"/>
      <c r="F12" s="6"/>
    </row>
    <row r="13" spans="1:6">
      <c r="A13" s="4"/>
      <c r="B13" s="6"/>
      <c r="C13" s="6"/>
      <c r="D13" s="6"/>
      <c r="E13" s="6"/>
      <c r="F13" s="6"/>
    </row>
    <row r="14" spans="1:6">
      <c r="A14" s="4"/>
      <c r="B14" s="6"/>
      <c r="C14" s="6"/>
      <c r="D14" s="6"/>
      <c r="E14" s="6"/>
      <c r="F14" s="6"/>
    </row>
    <row r="15" spans="1:6">
      <c r="A15" s="4"/>
      <c r="B15" s="6"/>
      <c r="C15" s="6"/>
      <c r="D15" s="6"/>
      <c r="E15" s="6"/>
      <c r="F15" s="6"/>
    </row>
    <row r="16" spans="1:6">
      <c r="A16" s="4"/>
      <c r="B16" s="6"/>
      <c r="C16" s="6"/>
      <c r="D16" s="6"/>
      <c r="E16" s="6"/>
      <c r="F16" s="6"/>
    </row>
    <row r="17" spans="1:6">
      <c r="A17" s="4"/>
      <c r="B17" s="6"/>
      <c r="C17" s="6"/>
      <c r="D17" s="6"/>
      <c r="E17" s="6"/>
      <c r="F17" s="6"/>
    </row>
    <row r="18" spans="1:6">
      <c r="A18" s="4"/>
      <c r="B18" s="6"/>
      <c r="C18" s="6"/>
      <c r="D18" s="6"/>
      <c r="E18" s="6"/>
      <c r="F18" s="6"/>
    </row>
    <row r="19" spans="1:6">
      <c r="A19" s="4"/>
      <c r="B19" s="6"/>
      <c r="C19" s="6"/>
      <c r="D19" s="6"/>
      <c r="E19" s="6"/>
      <c r="F19" s="6"/>
    </row>
    <row r="20" spans="1:6">
      <c r="A20" s="4"/>
      <c r="B20" s="6"/>
      <c r="C20" s="6"/>
      <c r="D20" s="6"/>
      <c r="E20" s="6"/>
      <c r="F20" s="6"/>
    </row>
    <row r="21" spans="1:6">
      <c r="A21" s="4"/>
      <c r="B21" s="6"/>
      <c r="C21" s="6"/>
      <c r="D21" s="6"/>
      <c r="E21" s="6"/>
      <c r="F21" s="6"/>
    </row>
    <row r="22" spans="1:6">
      <c r="A22" s="4"/>
      <c r="B22" s="6"/>
      <c r="C22" s="6"/>
      <c r="D22" s="6"/>
      <c r="E22" s="6"/>
      <c r="F22" s="6"/>
    </row>
    <row r="23" spans="1:6">
      <c r="A23" s="4"/>
      <c r="B23" s="6"/>
      <c r="C23" s="6"/>
      <c r="D23" s="6"/>
      <c r="E23" s="6"/>
      <c r="F23" s="6"/>
    </row>
  </sheetData>
  <dataValidations count="1">
    <dataValidation type="decimal" operator="between" allowBlank="1" showErrorMessage="1" error="Numbers only" sqref="B4:F2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K33"/>
  <sheetViews>
    <sheetView workbookViewId="0">
      <pane ySplit="3" topLeftCell="A4" activePane="bottomLeft" state="frozen"/>
      <selection/>
      <selection pane="bottomLeft" activeCell="B4" sqref="B4"/>
    </sheetView>
  </sheetViews>
  <sheetFormatPr defaultColWidth="8.67592592592593" defaultRowHeight="14.4"/>
  <cols>
    <col min="1" max="1" width="9" customWidth="1"/>
    <col min="2" max="2" width="12" customWidth="1"/>
    <col min="3" max="3" width="10" customWidth="1"/>
    <col min="4" max="5" width="11" customWidth="1"/>
    <col min="6" max="6" width="34" customWidth="1"/>
    <col min="7" max="7" width="7" customWidth="1"/>
    <col min="8" max="8" width="8" customWidth="1"/>
    <col min="9" max="10" width="11" customWidth="1"/>
    <col min="11" max="11" width="14" customWidth="1"/>
  </cols>
  <sheetData>
    <row r="1" ht="17.4" spans="1:11">
      <c r="A1" s="1" t="s">
        <v>99</v>
      </c>
    </row>
    <row r="2" spans="1:11">
      <c r="A2" s="2" t="s">
        <v>100</v>
      </c>
    </row>
    <row r="3" ht="30" customHeight="1" spans="1:11">
      <c r="A3" s="3" t="s">
        <v>101</v>
      </c>
      <c r="B3" s="3" t="s">
        <v>102</v>
      </c>
      <c r="C3" s="3" t="s">
        <v>90</v>
      </c>
      <c r="D3" s="3" t="s">
        <v>103</v>
      </c>
      <c r="E3" s="3" t="s">
        <v>104</v>
      </c>
      <c r="F3" s="3" t="s">
        <v>105</v>
      </c>
      <c r="G3" s="3" t="s">
        <v>106</v>
      </c>
      <c r="H3" s="3" t="s">
        <v>107</v>
      </c>
      <c r="I3" s="3" t="s">
        <v>108</v>
      </c>
      <c r="J3" s="3" t="s">
        <v>109</v>
      </c>
      <c r="K3" s="3" t="s">
        <v>110</v>
      </c>
    </row>
    <row r="4" ht="20.4" spans="1:11">
      <c r="A4" s="13" t="s">
        <v>32</v>
      </c>
      <c r="B4" s="14">
        <v>46323</v>
      </c>
      <c r="C4" s="13" t="s">
        <v>111</v>
      </c>
      <c r="D4" s="13" t="s">
        <v>112</v>
      </c>
      <c r="E4" s="13" t="s">
        <v>113</v>
      </c>
      <c r="F4" s="15" t="s">
        <v>114</v>
      </c>
      <c r="G4" s="16">
        <v>1</v>
      </c>
      <c r="H4" s="16">
        <v>1</v>
      </c>
      <c r="I4" s="16"/>
      <c r="J4" s="16"/>
      <c r="K4" s="16"/>
    </row>
    <row r="5" ht="20.4" spans="1:11">
      <c r="A5" s="13" t="s">
        <v>32</v>
      </c>
      <c r="B5" s="14">
        <v>46323</v>
      </c>
      <c r="C5" s="13" t="s">
        <v>115</v>
      </c>
      <c r="D5" s="13" t="s">
        <v>116</v>
      </c>
      <c r="E5" s="13" t="s">
        <v>113</v>
      </c>
      <c r="F5" s="15" t="s">
        <v>117</v>
      </c>
      <c r="G5" s="16">
        <v>1</v>
      </c>
      <c r="H5" s="16">
        <v>1</v>
      </c>
      <c r="I5" s="16"/>
      <c r="J5" s="16"/>
      <c r="K5" s="16"/>
    </row>
    <row r="6" spans="1:11">
      <c r="A6" s="13"/>
      <c r="B6" s="14"/>
      <c r="C6" s="13"/>
      <c r="D6" s="13"/>
      <c r="E6" s="13"/>
      <c r="F6" s="15"/>
      <c r="G6" s="16"/>
      <c r="H6" s="16"/>
      <c r="I6" s="16"/>
      <c r="J6" s="16"/>
      <c r="K6" s="16"/>
    </row>
    <row r="7" spans="1:11">
      <c r="A7" s="13"/>
      <c r="B7" s="14"/>
      <c r="C7" s="13"/>
      <c r="D7" s="13"/>
      <c r="E7" s="13"/>
      <c r="F7" s="15"/>
      <c r="G7" s="16"/>
      <c r="H7" s="16"/>
      <c r="I7" s="16"/>
      <c r="J7" s="16"/>
      <c r="K7" s="16"/>
    </row>
    <row r="8" spans="1:11">
      <c r="A8" s="4"/>
      <c r="B8" s="5"/>
      <c r="C8" s="4"/>
      <c r="D8" s="4"/>
      <c r="E8" s="4"/>
      <c r="F8" s="7"/>
      <c r="G8" s="6"/>
      <c r="H8" s="6"/>
      <c r="I8" s="6"/>
      <c r="J8" s="6"/>
      <c r="K8" s="6"/>
    </row>
    <row r="9" spans="1:11">
      <c r="A9" s="4"/>
      <c r="B9" s="5"/>
      <c r="C9" s="4"/>
      <c r="D9" s="4"/>
      <c r="E9" s="4"/>
      <c r="F9" s="7"/>
      <c r="G9" s="6"/>
      <c r="H9" s="6"/>
      <c r="I9" s="6"/>
      <c r="J9" s="6"/>
      <c r="K9" s="6"/>
    </row>
    <row r="10" spans="1:11">
      <c r="A10" s="4"/>
      <c r="B10" s="5"/>
      <c r="C10" s="4"/>
      <c r="D10" s="4"/>
      <c r="E10" s="4"/>
      <c r="F10" s="7"/>
      <c r="G10" s="6"/>
      <c r="H10" s="6"/>
      <c r="I10" s="6"/>
      <c r="J10" s="6"/>
      <c r="K10" s="6"/>
    </row>
    <row r="11" spans="1:11">
      <c r="A11" s="4"/>
      <c r="B11" s="5"/>
      <c r="C11" s="4"/>
      <c r="D11" s="4"/>
      <c r="E11" s="4"/>
      <c r="F11" s="7"/>
      <c r="G11" s="6"/>
      <c r="H11" s="6"/>
      <c r="I11" s="6"/>
      <c r="J11" s="6"/>
      <c r="K11" s="6"/>
    </row>
    <row r="12" spans="1:11">
      <c r="A12" s="4"/>
      <c r="B12" s="5"/>
      <c r="C12" s="4"/>
      <c r="D12" s="4"/>
      <c r="E12" s="4"/>
      <c r="F12" s="7"/>
      <c r="G12" s="6"/>
      <c r="H12" s="6"/>
      <c r="I12" s="6"/>
      <c r="J12" s="6"/>
      <c r="K12" s="6"/>
    </row>
    <row r="13" spans="1:11">
      <c r="A13" s="4"/>
      <c r="B13" s="5"/>
      <c r="C13" s="4"/>
      <c r="D13" s="4"/>
      <c r="E13" s="4"/>
      <c r="F13" s="7"/>
      <c r="G13" s="6"/>
      <c r="H13" s="6"/>
      <c r="I13" s="6"/>
      <c r="J13" s="6"/>
      <c r="K13" s="6"/>
    </row>
    <row r="14" spans="1:11">
      <c r="A14" s="4"/>
      <c r="B14" s="5"/>
      <c r="C14" s="4"/>
      <c r="D14" s="4"/>
      <c r="E14" s="4"/>
      <c r="F14" s="7"/>
      <c r="G14" s="6"/>
      <c r="H14" s="6"/>
      <c r="I14" s="6"/>
      <c r="J14" s="6"/>
      <c r="K14" s="6"/>
    </row>
    <row r="15" spans="1:11">
      <c r="A15" s="4"/>
      <c r="B15" s="5"/>
      <c r="C15" s="4"/>
      <c r="D15" s="4"/>
      <c r="E15" s="4"/>
      <c r="F15" s="7"/>
      <c r="G15" s="6"/>
      <c r="H15" s="6"/>
      <c r="I15" s="6"/>
      <c r="J15" s="6"/>
      <c r="K15" s="6"/>
    </row>
    <row r="16" spans="1:11">
      <c r="A16" s="4"/>
      <c r="B16" s="5"/>
      <c r="C16" s="4"/>
      <c r="D16" s="4"/>
      <c r="E16" s="4"/>
      <c r="F16" s="7"/>
      <c r="G16" s="6"/>
      <c r="H16" s="6"/>
      <c r="I16" s="6"/>
      <c r="J16" s="6"/>
      <c r="K16" s="6"/>
    </row>
    <row r="17" spans="1:11">
      <c r="A17" s="4"/>
      <c r="B17" s="5"/>
      <c r="C17" s="4"/>
      <c r="D17" s="4"/>
      <c r="E17" s="4"/>
      <c r="F17" s="7"/>
      <c r="G17" s="6"/>
      <c r="H17" s="6"/>
      <c r="I17" s="6"/>
      <c r="J17" s="6"/>
      <c r="K17" s="6"/>
    </row>
    <row r="18" spans="1:11">
      <c r="A18" s="4"/>
      <c r="B18" s="5"/>
      <c r="C18" s="4"/>
      <c r="D18" s="4"/>
      <c r="E18" s="4"/>
      <c r="F18" s="7"/>
      <c r="G18" s="6"/>
      <c r="H18" s="6"/>
      <c r="I18" s="6"/>
      <c r="J18" s="6"/>
      <c r="K18" s="6"/>
    </row>
    <row r="19" spans="1:11">
      <c r="A19" s="4"/>
      <c r="B19" s="5"/>
      <c r="C19" s="4"/>
      <c r="D19" s="4"/>
      <c r="E19" s="4"/>
      <c r="F19" s="7"/>
      <c r="G19" s="6"/>
      <c r="H19" s="6"/>
      <c r="I19" s="6"/>
      <c r="J19" s="6"/>
      <c r="K19" s="6"/>
    </row>
    <row r="20" spans="1:11">
      <c r="A20" s="4"/>
      <c r="B20" s="5"/>
      <c r="C20" s="4"/>
      <c r="D20" s="4"/>
      <c r="E20" s="4"/>
      <c r="F20" s="7"/>
      <c r="G20" s="6"/>
      <c r="H20" s="6"/>
      <c r="I20" s="6"/>
      <c r="J20" s="6"/>
      <c r="K20" s="6"/>
    </row>
    <row r="21" spans="1:11">
      <c r="A21" s="4"/>
      <c r="B21" s="5"/>
      <c r="C21" s="4"/>
      <c r="D21" s="4"/>
      <c r="E21" s="4"/>
      <c r="F21" s="7"/>
      <c r="G21" s="6"/>
      <c r="H21" s="6"/>
      <c r="I21" s="6"/>
      <c r="J21" s="6"/>
      <c r="K21" s="6"/>
    </row>
    <row r="22" spans="1:11">
      <c r="A22" s="4"/>
      <c r="B22" s="5"/>
      <c r="C22" s="4"/>
      <c r="D22" s="4"/>
      <c r="E22" s="4"/>
      <c r="F22" s="7"/>
      <c r="G22" s="6"/>
      <c r="H22" s="6"/>
      <c r="I22" s="6"/>
      <c r="J22" s="6"/>
      <c r="K22" s="6"/>
    </row>
    <row r="23" spans="1:11">
      <c r="A23" s="4"/>
      <c r="B23" s="5"/>
      <c r="C23" s="4"/>
      <c r="D23" s="4"/>
      <c r="E23" s="4"/>
      <c r="F23" s="7"/>
      <c r="G23" s="6"/>
      <c r="H23" s="6"/>
      <c r="I23" s="6"/>
      <c r="J23" s="6"/>
      <c r="K23" s="6"/>
    </row>
    <row r="24" spans="1:11">
      <c r="A24" s="4"/>
      <c r="B24" s="5"/>
      <c r="C24" s="4"/>
      <c r="D24" s="4"/>
      <c r="E24" s="4"/>
      <c r="F24" s="7"/>
      <c r="G24" s="6"/>
      <c r="H24" s="6"/>
      <c r="I24" s="6"/>
      <c r="J24" s="6"/>
      <c r="K24" s="6"/>
    </row>
    <row r="25" spans="1:11">
      <c r="A25" s="4"/>
      <c r="B25" s="5"/>
      <c r="C25" s="4"/>
      <c r="D25" s="4"/>
      <c r="E25" s="4"/>
      <c r="F25" s="7"/>
      <c r="G25" s="6"/>
      <c r="H25" s="6"/>
      <c r="I25" s="6"/>
      <c r="J25" s="6"/>
      <c r="K25" s="6"/>
    </row>
    <row r="26" spans="1:11">
      <c r="A26" s="4"/>
      <c r="B26" s="5"/>
      <c r="C26" s="4"/>
      <c r="D26" s="4"/>
      <c r="E26" s="4"/>
      <c r="F26" s="7"/>
      <c r="G26" s="6"/>
      <c r="H26" s="6"/>
      <c r="I26" s="6"/>
      <c r="J26" s="6"/>
      <c r="K26" s="6"/>
    </row>
    <row r="27" spans="1:11">
      <c r="A27" s="4"/>
      <c r="B27" s="5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4"/>
      <c r="B28" s="5"/>
      <c r="C28" s="4"/>
      <c r="D28" s="4"/>
      <c r="E28" s="4"/>
      <c r="F28" s="7"/>
      <c r="G28" s="6"/>
      <c r="H28" s="6"/>
      <c r="I28" s="6"/>
      <c r="J28" s="6"/>
      <c r="K28" s="6"/>
    </row>
    <row r="29" spans="1:11">
      <c r="A29" s="4"/>
      <c r="B29" s="5"/>
      <c r="C29" s="4"/>
      <c r="D29" s="4"/>
      <c r="E29" s="4"/>
      <c r="F29" s="7"/>
      <c r="G29" s="6"/>
      <c r="H29" s="6"/>
      <c r="I29" s="6"/>
      <c r="J29" s="6"/>
      <c r="K29" s="6"/>
    </row>
    <row r="30" spans="1:11">
      <c r="A30" s="4"/>
      <c r="B30" s="5"/>
      <c r="C30" s="4"/>
      <c r="D30" s="4"/>
      <c r="E30" s="4"/>
      <c r="F30" s="7"/>
      <c r="G30" s="6"/>
      <c r="H30" s="6"/>
      <c r="I30" s="6"/>
      <c r="J30" s="6"/>
      <c r="K30" s="6"/>
    </row>
    <row r="31" spans="1:11">
      <c r="A31" s="4"/>
      <c r="B31" s="5"/>
      <c r="C31" s="4"/>
      <c r="D31" s="4"/>
      <c r="E31" s="4"/>
      <c r="F31" s="7"/>
      <c r="G31" s="6"/>
      <c r="H31" s="6"/>
      <c r="I31" s="6"/>
      <c r="J31" s="6"/>
      <c r="K31" s="6"/>
    </row>
    <row r="32" spans="1:11">
      <c r="A32" s="4"/>
      <c r="B32" s="5"/>
      <c r="C32" s="4"/>
      <c r="D32" s="4"/>
      <c r="E32" s="4"/>
      <c r="F32" s="7"/>
      <c r="G32" s="6"/>
      <c r="H32" s="6"/>
      <c r="I32" s="6"/>
      <c r="J32" s="6"/>
      <c r="K32" s="6"/>
    </row>
    <row r="33" spans="1:11">
      <c r="A33" s="4"/>
      <c r="B33" s="5"/>
      <c r="C33" s="4"/>
      <c r="D33" s="4"/>
      <c r="E33" s="4"/>
      <c r="F33" s="7"/>
      <c r="G33" s="6"/>
      <c r="H33" s="6"/>
      <c r="I33" s="6"/>
      <c r="J33" s="6"/>
      <c r="K33" s="6"/>
    </row>
  </sheetData>
  <dataValidations count="4">
    <dataValidation type="list" allowBlank="1" showErrorMessage="1" error="Pick a value from the list" sqref="A4 A5 A6:A33">
      <formula1>"Done,Plan"</formula1>
    </dataValidation>
    <dataValidation type="date" operator="greaterThan" allowBlank="1" showErrorMessage="1" error="Enter a date, e.g. 16-Oct-2026" sqref="B4:B33">
      <formula1>45000</formula1>
    </dataValidation>
    <dataValidation type="list" allowBlank="1" error="Pick a value from the list" sqref="E4:E33">
      <formula1>"Cable Cutting,Cable Cleaning"</formula1>
    </dataValidation>
    <dataValidation type="decimal" operator="between" allowBlank="1" showErrorMessage="1" error="Numbers only" sqref="G4:K3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C18"/>
  <sheetViews>
    <sheetView workbookViewId="0">
      <pane ySplit="3" topLeftCell="A4" activePane="bottomLeft" state="frozen"/>
      <selection/>
      <selection pane="bottomLeft" activeCell="I15" sqref="I15"/>
    </sheetView>
  </sheetViews>
  <sheetFormatPr defaultColWidth="8.67592592592593" defaultRowHeight="14.4" outlineLevelCol="2"/>
  <cols>
    <col min="1" max="1" width="30.3333333333333" customWidth="1"/>
    <col min="2" max="3" width="9" customWidth="1"/>
  </cols>
  <sheetData>
    <row r="1" ht="17.4" spans="1:3">
      <c r="A1" s="1" t="s">
        <v>118</v>
      </c>
    </row>
    <row r="2" spans="1:3">
      <c r="A2" s="2" t="s">
        <v>119</v>
      </c>
    </row>
    <row r="3" ht="30" customHeight="1" spans="1:3">
      <c r="A3" s="3" t="s">
        <v>120</v>
      </c>
      <c r="B3" s="3" t="s">
        <v>121</v>
      </c>
      <c r="C3" s="3" t="s">
        <v>122</v>
      </c>
    </row>
    <row r="4" spans="1:3">
      <c r="A4" s="4" t="s">
        <v>123</v>
      </c>
      <c r="B4" s="4" t="s">
        <v>124</v>
      </c>
      <c r="C4" s="6">
        <v>2</v>
      </c>
    </row>
    <row r="5" spans="1:3">
      <c r="A5" s="4" t="s">
        <v>125</v>
      </c>
      <c r="B5" s="4" t="s">
        <v>124</v>
      </c>
      <c r="C5" s="6">
        <v>6</v>
      </c>
    </row>
    <row r="6" spans="1:3">
      <c r="A6" s="4" t="s">
        <v>126</v>
      </c>
      <c r="B6" s="4" t="s">
        <v>127</v>
      </c>
      <c r="C6" s="6">
        <v>1</v>
      </c>
    </row>
    <row r="7" spans="1:3">
      <c r="A7" s="4" t="s">
        <v>128</v>
      </c>
      <c r="B7" s="4" t="s">
        <v>124</v>
      </c>
      <c r="C7" s="6">
        <v>2</v>
      </c>
    </row>
    <row r="8" spans="1:3">
      <c r="A8" s="4"/>
      <c r="B8" s="4"/>
      <c r="C8" s="6"/>
    </row>
    <row r="9" spans="1:3">
      <c r="A9" s="4"/>
      <c r="B9" s="4"/>
      <c r="C9" s="6"/>
    </row>
    <row r="10" spans="1:3">
      <c r="A10" s="4"/>
      <c r="B10" s="4"/>
      <c r="C10" s="6"/>
    </row>
    <row r="11" spans="1:3">
      <c r="A11" s="4"/>
      <c r="B11" s="4"/>
      <c r="C11" s="6"/>
    </row>
    <row r="12" spans="1:3">
      <c r="A12" s="4"/>
      <c r="B12" s="4"/>
      <c r="C12" s="6"/>
    </row>
    <row r="13" spans="1:3">
      <c r="A13" s="4"/>
      <c r="B13" s="4"/>
      <c r="C13" s="6"/>
    </row>
    <row r="14" spans="1:3">
      <c r="A14" s="4"/>
      <c r="B14" s="4"/>
      <c r="C14" s="6"/>
    </row>
    <row r="15" spans="1:3">
      <c r="A15" s="4"/>
      <c r="B15" s="4"/>
      <c r="C15" s="6"/>
    </row>
    <row r="16" spans="1:3">
      <c r="A16" s="4"/>
      <c r="B16" s="4"/>
      <c r="C16" s="6"/>
    </row>
    <row r="17" spans="1:3">
      <c r="A17" s="4"/>
      <c r="B17" s="4"/>
      <c r="C17" s="6"/>
    </row>
    <row r="18" spans="1:3">
      <c r="A18" s="4"/>
      <c r="B18" s="4"/>
      <c r="C18" s="6"/>
    </row>
  </sheetData>
  <dataValidations count="1">
    <dataValidation type="decimal" operator="between" allowBlank="1" showErrorMessage="1" error="Numbers only" sqref="C7 C4:C6 C8:C1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M43"/>
  <sheetViews>
    <sheetView tabSelected="1" workbookViewId="0">
      <pane ySplit="3" topLeftCell="A4" activePane="bottomLeft" state="frozen"/>
      <selection/>
      <selection pane="bottomLeft" activeCell="P14" sqref="P14"/>
    </sheetView>
  </sheetViews>
  <sheetFormatPr defaultColWidth="8.67592592592593" defaultRowHeight="14.4"/>
  <cols>
    <col min="1" max="1" width="9" customWidth="1"/>
    <col min="2" max="2" width="11" customWidth="1"/>
    <col min="3" max="3" width="12" customWidth="1"/>
    <col min="4" max="6" width="10" customWidth="1"/>
    <col min="7" max="7" width="9" customWidth="1"/>
    <col min="8" max="8" width="8" customWidth="1"/>
    <col min="9" max="9" width="9" customWidth="1"/>
    <col min="10" max="11" width="11" customWidth="1"/>
    <col min="12" max="12" width="10" customWidth="1"/>
    <col min="13" max="13" width="12" customWidth="1"/>
  </cols>
  <sheetData>
    <row r="1" ht="17.4" spans="1:13">
      <c r="A1" s="1" t="s">
        <v>129</v>
      </c>
    </row>
    <row r="2" spans="1:13">
      <c r="A2" s="2" t="s">
        <v>130</v>
      </c>
    </row>
    <row r="3" ht="30" customHeight="1" spans="1:13">
      <c r="A3" s="3" t="s">
        <v>90</v>
      </c>
      <c r="B3" s="3" t="s">
        <v>103</v>
      </c>
      <c r="C3" s="3" t="s">
        <v>131</v>
      </c>
      <c r="D3" s="3" t="s">
        <v>132</v>
      </c>
      <c r="E3" s="3" t="s">
        <v>133</v>
      </c>
      <c r="F3" s="3" t="s">
        <v>134</v>
      </c>
      <c r="G3" s="3" t="s">
        <v>135</v>
      </c>
      <c r="H3" s="3" t="s">
        <v>91</v>
      </c>
      <c r="I3" s="3" t="s">
        <v>107</v>
      </c>
      <c r="J3" s="3" t="s">
        <v>136</v>
      </c>
      <c r="K3" s="3" t="s">
        <v>137</v>
      </c>
      <c r="L3" s="3" t="s">
        <v>138</v>
      </c>
      <c r="M3" s="3" t="s">
        <v>139</v>
      </c>
    </row>
    <row r="4" spans="1:13">
      <c r="A4" s="4" t="s">
        <v>111</v>
      </c>
      <c r="B4" s="4" t="s">
        <v>140</v>
      </c>
      <c r="C4" s="6">
        <v>35</v>
      </c>
      <c r="D4" s="6">
        <v>27</v>
      </c>
      <c r="E4" s="6">
        <v>40</v>
      </c>
      <c r="F4" s="6">
        <v>6</v>
      </c>
      <c r="G4" s="6">
        <v>11</v>
      </c>
      <c r="H4" s="6">
        <v>5</v>
      </c>
      <c r="I4" s="6">
        <v>11</v>
      </c>
      <c r="J4" s="9">
        <f>IF(C4&gt;0,D4/C4,"")</f>
        <v>0.771428571428571</v>
      </c>
      <c r="K4" s="9">
        <f t="shared" ref="K4:K15" si="0">IF(E4&gt;0,F4/E4,"")</f>
        <v>0.15</v>
      </c>
      <c r="L4" s="10">
        <f t="shared" ref="L4:L15" si="1">IF(H4&gt;0,ROUND(G4/H4,1),"")</f>
        <v>2.2</v>
      </c>
      <c r="M4" s="10">
        <f t="shared" ref="M4:M15" si="2">IF(G4&gt;0,ROUND(I4/G4,1),"")</f>
        <v>1</v>
      </c>
    </row>
    <row r="5" spans="1:13">
      <c r="A5" s="4" t="s">
        <v>111</v>
      </c>
      <c r="B5" s="4" t="s">
        <v>112</v>
      </c>
      <c r="C5" s="6">
        <v>14</v>
      </c>
      <c r="D5" s="6">
        <v>11</v>
      </c>
      <c r="E5" s="6">
        <v>51</v>
      </c>
      <c r="F5" s="6">
        <v>2</v>
      </c>
      <c r="G5" s="6">
        <v>3</v>
      </c>
      <c r="H5" s="6">
        <v>2</v>
      </c>
      <c r="I5" s="6">
        <v>4</v>
      </c>
      <c r="J5" s="9">
        <f t="shared" ref="J4:J15" si="3">IF(C5&gt;0,D5/C5,"")</f>
        <v>0.785714285714286</v>
      </c>
      <c r="K5" s="9">
        <f t="shared" si="0"/>
        <v>0.0392156862745098</v>
      </c>
      <c r="L5" s="10">
        <f t="shared" si="1"/>
        <v>1.5</v>
      </c>
      <c r="M5" s="10">
        <f t="shared" si="2"/>
        <v>1.3</v>
      </c>
    </row>
    <row r="6" spans="1:13">
      <c r="A6" s="4" t="s">
        <v>111</v>
      </c>
      <c r="B6" s="4" t="s">
        <v>141</v>
      </c>
      <c r="C6" s="6">
        <v>5</v>
      </c>
      <c r="D6" s="6">
        <v>3</v>
      </c>
      <c r="E6" s="6">
        <v>35</v>
      </c>
      <c r="F6" s="6">
        <v>2</v>
      </c>
      <c r="G6" s="6">
        <v>1</v>
      </c>
      <c r="H6" s="6">
        <v>1</v>
      </c>
      <c r="I6" s="6">
        <v>2</v>
      </c>
      <c r="J6" s="9">
        <f t="shared" si="3"/>
        <v>0.6</v>
      </c>
      <c r="K6" s="9">
        <f t="shared" si="0"/>
        <v>0.0571428571428571</v>
      </c>
      <c r="L6" s="10">
        <f t="shared" si="1"/>
        <v>1</v>
      </c>
      <c r="M6" s="10">
        <f t="shared" si="2"/>
        <v>2</v>
      </c>
    </row>
    <row r="7" spans="1:13">
      <c r="A7" s="4" t="s">
        <v>142</v>
      </c>
      <c r="B7" s="4" t="s">
        <v>143</v>
      </c>
      <c r="C7" s="6">
        <v>20</v>
      </c>
      <c r="D7" s="6">
        <v>13</v>
      </c>
      <c r="E7" s="6">
        <v>25</v>
      </c>
      <c r="F7" s="6">
        <v>3</v>
      </c>
      <c r="G7" s="6">
        <v>4</v>
      </c>
      <c r="H7" s="6">
        <v>3</v>
      </c>
      <c r="I7" s="6">
        <v>3</v>
      </c>
      <c r="J7" s="9">
        <f t="shared" si="3"/>
        <v>0.65</v>
      </c>
      <c r="K7" s="9">
        <f t="shared" si="0"/>
        <v>0.12</v>
      </c>
      <c r="L7" s="10">
        <f t="shared" si="1"/>
        <v>1.3</v>
      </c>
      <c r="M7" s="10">
        <f t="shared" si="2"/>
        <v>0.8</v>
      </c>
    </row>
    <row r="8" spans="1:13">
      <c r="A8" s="4" t="s">
        <v>142</v>
      </c>
      <c r="B8" s="4" t="s">
        <v>144</v>
      </c>
      <c r="C8" s="6">
        <v>8</v>
      </c>
      <c r="D8" s="6">
        <v>7</v>
      </c>
      <c r="E8" s="6">
        <v>31</v>
      </c>
      <c r="F8" s="6">
        <v>2</v>
      </c>
      <c r="G8" s="6">
        <v>2</v>
      </c>
      <c r="H8" s="6">
        <v>2</v>
      </c>
      <c r="I8" s="6">
        <v>3</v>
      </c>
      <c r="J8" s="9">
        <f t="shared" si="3"/>
        <v>0.875</v>
      </c>
      <c r="K8" s="9">
        <f t="shared" si="0"/>
        <v>0.0645161290322581</v>
      </c>
      <c r="L8" s="10">
        <f t="shared" si="1"/>
        <v>1</v>
      </c>
      <c r="M8" s="10">
        <f t="shared" si="2"/>
        <v>1.5</v>
      </c>
    </row>
    <row r="9" spans="1:13">
      <c r="A9" s="4" t="s">
        <v>142</v>
      </c>
      <c r="B9" s="4" t="s">
        <v>145</v>
      </c>
      <c r="C9" s="6">
        <v>7</v>
      </c>
      <c r="D9" s="6">
        <v>6</v>
      </c>
      <c r="E9" s="6">
        <v>20</v>
      </c>
      <c r="F9" s="6">
        <v>1</v>
      </c>
      <c r="G9" s="6">
        <v>3</v>
      </c>
      <c r="H9" s="6">
        <v>2</v>
      </c>
      <c r="I9" s="6">
        <v>3</v>
      </c>
      <c r="J9" s="9">
        <f t="shared" si="3"/>
        <v>0.857142857142857</v>
      </c>
      <c r="K9" s="9">
        <f t="shared" si="0"/>
        <v>0.05</v>
      </c>
      <c r="L9" s="10">
        <f t="shared" si="1"/>
        <v>1.5</v>
      </c>
      <c r="M9" s="10">
        <f t="shared" si="2"/>
        <v>1</v>
      </c>
    </row>
    <row r="10" spans="1:13">
      <c r="A10" s="4" t="s">
        <v>142</v>
      </c>
      <c r="B10" s="4" t="s">
        <v>146</v>
      </c>
      <c r="C10" s="6">
        <v>7</v>
      </c>
      <c r="D10" s="6">
        <v>7</v>
      </c>
      <c r="E10" s="6">
        <v>29</v>
      </c>
      <c r="F10" s="6">
        <v>0</v>
      </c>
      <c r="G10" s="6">
        <v>3</v>
      </c>
      <c r="H10" s="6">
        <v>3</v>
      </c>
      <c r="I10" s="6">
        <v>3</v>
      </c>
      <c r="J10" s="9">
        <f t="shared" si="3"/>
        <v>1</v>
      </c>
      <c r="K10" s="9">
        <f t="shared" si="0"/>
        <v>0</v>
      </c>
      <c r="L10" s="10">
        <f t="shared" si="1"/>
        <v>1</v>
      </c>
      <c r="M10" s="10">
        <f t="shared" si="2"/>
        <v>1</v>
      </c>
    </row>
    <row r="11" spans="1:13">
      <c r="A11" s="4" t="s">
        <v>147</v>
      </c>
      <c r="B11" s="4" t="s">
        <v>147</v>
      </c>
      <c r="C11" s="6">
        <v>4</v>
      </c>
      <c r="D11" s="6">
        <v>3</v>
      </c>
      <c r="E11" s="6">
        <v>2</v>
      </c>
      <c r="F11" s="6">
        <v>0</v>
      </c>
      <c r="G11" s="6">
        <v>1</v>
      </c>
      <c r="H11" s="6">
        <v>1</v>
      </c>
      <c r="I11" s="6">
        <v>1</v>
      </c>
      <c r="J11" s="9">
        <f t="shared" si="3"/>
        <v>0.75</v>
      </c>
      <c r="K11" s="9">
        <f t="shared" si="0"/>
        <v>0</v>
      </c>
      <c r="L11" s="10">
        <f t="shared" si="1"/>
        <v>1</v>
      </c>
      <c r="M11" s="10">
        <f t="shared" si="2"/>
        <v>1</v>
      </c>
    </row>
    <row r="12" spans="1:13">
      <c r="A12" s="4" t="s">
        <v>148</v>
      </c>
      <c r="B12" s="4" t="s">
        <v>72</v>
      </c>
      <c r="C12" s="6">
        <v>19</v>
      </c>
      <c r="D12" s="6">
        <v>19</v>
      </c>
      <c r="E12" s="6">
        <v>24</v>
      </c>
      <c r="F12" s="6">
        <v>10</v>
      </c>
      <c r="G12" s="6">
        <v>9</v>
      </c>
      <c r="H12" s="6">
        <v>9</v>
      </c>
      <c r="I12" s="6">
        <v>11</v>
      </c>
      <c r="J12" s="9">
        <f t="shared" si="3"/>
        <v>1</v>
      </c>
      <c r="K12" s="9">
        <f t="shared" si="0"/>
        <v>0.416666666666667</v>
      </c>
      <c r="L12" s="10">
        <f t="shared" si="1"/>
        <v>1</v>
      </c>
      <c r="M12" s="10">
        <f t="shared" si="2"/>
        <v>1.2</v>
      </c>
    </row>
    <row r="13" spans="1:13">
      <c r="A13" s="4" t="s">
        <v>148</v>
      </c>
      <c r="B13" s="4" t="s">
        <v>79</v>
      </c>
      <c r="C13" s="6">
        <v>7</v>
      </c>
      <c r="D13" s="6">
        <v>7</v>
      </c>
      <c r="E13" s="6">
        <v>9</v>
      </c>
      <c r="F13" s="6">
        <v>5</v>
      </c>
      <c r="G13" s="6">
        <v>3</v>
      </c>
      <c r="H13" s="6">
        <v>2</v>
      </c>
      <c r="I13" s="6">
        <v>1</v>
      </c>
      <c r="J13" s="9">
        <f t="shared" si="3"/>
        <v>1</v>
      </c>
      <c r="K13" s="9">
        <f t="shared" si="0"/>
        <v>0.555555555555556</v>
      </c>
      <c r="L13" s="10">
        <f t="shared" si="1"/>
        <v>1.5</v>
      </c>
      <c r="M13" s="10">
        <f t="shared" si="2"/>
        <v>0.3</v>
      </c>
    </row>
    <row r="14" spans="1:13">
      <c r="A14" s="4" t="s">
        <v>148</v>
      </c>
      <c r="B14" s="4" t="s">
        <v>76</v>
      </c>
      <c r="C14" s="6">
        <v>12</v>
      </c>
      <c r="D14" s="6">
        <v>12</v>
      </c>
      <c r="E14" s="6">
        <v>8</v>
      </c>
      <c r="F14" s="6">
        <v>4</v>
      </c>
      <c r="G14" s="6">
        <v>3</v>
      </c>
      <c r="H14" s="6">
        <v>3</v>
      </c>
      <c r="I14" s="6">
        <v>3</v>
      </c>
      <c r="J14" s="9">
        <f t="shared" si="3"/>
        <v>1</v>
      </c>
      <c r="K14" s="9">
        <f t="shared" si="0"/>
        <v>0.5</v>
      </c>
      <c r="L14" s="10">
        <f t="shared" si="1"/>
        <v>1</v>
      </c>
      <c r="M14" s="10">
        <f t="shared" si="2"/>
        <v>1</v>
      </c>
    </row>
    <row r="15" spans="1:13">
      <c r="A15" s="4" t="s">
        <v>148</v>
      </c>
      <c r="B15" s="4" t="s">
        <v>73</v>
      </c>
      <c r="C15" s="6">
        <v>25</v>
      </c>
      <c r="D15" s="6">
        <v>24</v>
      </c>
      <c r="E15" s="6">
        <v>16</v>
      </c>
      <c r="F15" s="6">
        <v>2</v>
      </c>
      <c r="G15" s="6">
        <v>4</v>
      </c>
      <c r="H15" s="6">
        <v>4</v>
      </c>
      <c r="I15" s="6">
        <v>4</v>
      </c>
      <c r="J15" s="9">
        <f t="shared" si="3"/>
        <v>0.96</v>
      </c>
      <c r="K15" s="9">
        <f t="shared" si="0"/>
        <v>0.125</v>
      </c>
      <c r="L15" s="10">
        <f t="shared" si="1"/>
        <v>1</v>
      </c>
      <c r="M15" s="10">
        <f t="shared" si="2"/>
        <v>1</v>
      </c>
    </row>
    <row r="16" spans="1:13">
      <c r="A16" s="4"/>
      <c r="B16" s="4"/>
      <c r="C16" s="6"/>
      <c r="D16" s="6"/>
      <c r="E16" s="6"/>
      <c r="F16" s="6"/>
      <c r="G16" s="6"/>
      <c r="H16" s="6"/>
      <c r="I16" s="6"/>
      <c r="J16" s="11"/>
      <c r="K16" s="11"/>
      <c r="L16" s="12"/>
      <c r="M16" s="12"/>
    </row>
    <row r="17" spans="1:13">
      <c r="A17" s="4"/>
      <c r="B17" s="4"/>
      <c r="C17" s="6"/>
      <c r="D17" s="6"/>
      <c r="E17" s="6"/>
      <c r="F17" s="6"/>
      <c r="G17" s="6"/>
      <c r="H17" s="6"/>
      <c r="I17" s="6"/>
      <c r="J17" s="11"/>
      <c r="K17" s="11"/>
      <c r="L17" s="12"/>
      <c r="M17" s="12"/>
    </row>
    <row r="18" spans="1:13">
      <c r="A18" s="4"/>
      <c r="B18" s="4"/>
      <c r="C18" s="6"/>
      <c r="D18" s="6"/>
      <c r="E18" s="6"/>
      <c r="F18" s="6"/>
      <c r="G18" s="6"/>
      <c r="H18" s="6"/>
      <c r="I18" s="6"/>
      <c r="J18" s="11"/>
      <c r="K18" s="11"/>
      <c r="L18" s="12"/>
      <c r="M18" s="12"/>
    </row>
    <row r="19" spans="1:13">
      <c r="A19" s="4"/>
      <c r="B19" s="4"/>
      <c r="C19" s="6"/>
      <c r="D19" s="6"/>
      <c r="E19" s="6"/>
      <c r="F19" s="6"/>
      <c r="G19" s="6"/>
      <c r="H19" s="6"/>
      <c r="I19" s="6"/>
      <c r="J19" s="11" t="str">
        <f t="shared" ref="J4:J43" si="4">IF(C19&gt;0,D19/C19,"")</f>
        <v/>
      </c>
      <c r="K19" s="11" t="str">
        <f t="shared" ref="K4:K43" si="5">IF(E19&gt;0,F19/E19,"")</f>
        <v/>
      </c>
      <c r="L19" s="12" t="str">
        <f t="shared" ref="L4:L43" si="6">IF(H19&gt;0,ROUND(G19/H19,1),"")</f>
        <v/>
      </c>
      <c r="M19" s="12" t="str">
        <f t="shared" ref="M4:M43" si="7">IF(G19&gt;0,ROUND(I19/G19,1),"")</f>
        <v/>
      </c>
    </row>
    <row r="20" spans="1:13">
      <c r="A20" s="4"/>
      <c r="B20" s="4"/>
      <c r="C20" s="6"/>
      <c r="D20" s="6"/>
      <c r="E20" s="6"/>
      <c r="F20" s="6"/>
      <c r="G20" s="6"/>
      <c r="H20" s="6"/>
      <c r="I20" s="6"/>
      <c r="J20" s="11" t="str">
        <f t="shared" si="4"/>
        <v/>
      </c>
      <c r="K20" s="11" t="str">
        <f t="shared" si="5"/>
        <v/>
      </c>
      <c r="L20" s="12" t="str">
        <f t="shared" si="6"/>
        <v/>
      </c>
      <c r="M20" s="12" t="str">
        <f t="shared" si="7"/>
        <v/>
      </c>
    </row>
    <row r="21" spans="1:13">
      <c r="A21" s="4"/>
      <c r="B21" s="4"/>
      <c r="C21" s="6"/>
      <c r="D21" s="6"/>
      <c r="E21" s="6"/>
      <c r="F21" s="6"/>
      <c r="G21" s="6"/>
      <c r="H21" s="6"/>
      <c r="I21" s="6"/>
      <c r="J21" s="11" t="str">
        <f t="shared" si="4"/>
        <v/>
      </c>
      <c r="K21" s="11" t="str">
        <f t="shared" si="5"/>
        <v/>
      </c>
      <c r="L21" s="12" t="str">
        <f t="shared" si="6"/>
        <v/>
      </c>
      <c r="M21" s="12" t="str">
        <f t="shared" si="7"/>
        <v/>
      </c>
    </row>
    <row r="22" spans="1:13">
      <c r="A22" s="4"/>
      <c r="B22" s="4"/>
      <c r="C22" s="6"/>
      <c r="D22" s="6"/>
      <c r="E22" s="6"/>
      <c r="F22" s="6"/>
      <c r="G22" s="6"/>
      <c r="H22" s="6"/>
      <c r="I22" s="6"/>
      <c r="J22" s="11" t="str">
        <f t="shared" si="4"/>
        <v/>
      </c>
      <c r="K22" s="11" t="str">
        <f t="shared" si="5"/>
        <v/>
      </c>
      <c r="L22" s="12" t="str">
        <f t="shared" si="6"/>
        <v/>
      </c>
      <c r="M22" s="12" t="str">
        <f t="shared" si="7"/>
        <v/>
      </c>
    </row>
    <row r="23" spans="1:13">
      <c r="A23" s="4"/>
      <c r="B23" s="4"/>
      <c r="C23" s="6"/>
      <c r="D23" s="6"/>
      <c r="E23" s="6"/>
      <c r="F23" s="6"/>
      <c r="G23" s="6"/>
      <c r="H23" s="6"/>
      <c r="I23" s="6"/>
      <c r="J23" s="11" t="str">
        <f t="shared" si="4"/>
        <v/>
      </c>
      <c r="K23" s="11" t="str">
        <f t="shared" si="5"/>
        <v/>
      </c>
      <c r="L23" s="12" t="str">
        <f t="shared" si="6"/>
        <v/>
      </c>
      <c r="M23" s="12" t="str">
        <f t="shared" si="7"/>
        <v/>
      </c>
    </row>
    <row r="24" spans="1:13">
      <c r="A24" s="4"/>
      <c r="B24" s="4"/>
      <c r="C24" s="6"/>
      <c r="D24" s="6"/>
      <c r="E24" s="6"/>
      <c r="F24" s="6"/>
      <c r="G24" s="6"/>
      <c r="H24" s="6"/>
      <c r="I24" s="6"/>
      <c r="J24" s="11" t="str">
        <f t="shared" si="4"/>
        <v/>
      </c>
      <c r="K24" s="11" t="str">
        <f t="shared" si="5"/>
        <v/>
      </c>
      <c r="L24" s="12" t="str">
        <f t="shared" si="6"/>
        <v/>
      </c>
      <c r="M24" s="12" t="str">
        <f t="shared" si="7"/>
        <v/>
      </c>
    </row>
    <row r="25" spans="1:13">
      <c r="A25" s="4"/>
      <c r="B25" s="4"/>
      <c r="C25" s="6"/>
      <c r="D25" s="6"/>
      <c r="E25" s="6"/>
      <c r="F25" s="6"/>
      <c r="G25" s="6"/>
      <c r="H25" s="6"/>
      <c r="I25" s="6"/>
      <c r="J25" s="11" t="str">
        <f t="shared" si="4"/>
        <v/>
      </c>
      <c r="K25" s="11" t="str">
        <f t="shared" si="5"/>
        <v/>
      </c>
      <c r="L25" s="12" t="str">
        <f t="shared" si="6"/>
        <v/>
      </c>
      <c r="M25" s="12" t="str">
        <f t="shared" si="7"/>
        <v/>
      </c>
    </row>
    <row r="26" spans="1:13">
      <c r="A26" s="4"/>
      <c r="B26" s="4"/>
      <c r="C26" s="6"/>
      <c r="D26" s="6"/>
      <c r="E26" s="6"/>
      <c r="F26" s="6"/>
      <c r="G26" s="6"/>
      <c r="H26" s="6"/>
      <c r="I26" s="6"/>
      <c r="J26" s="11" t="str">
        <f t="shared" si="4"/>
        <v/>
      </c>
      <c r="K26" s="11" t="str">
        <f t="shared" si="5"/>
        <v/>
      </c>
      <c r="L26" s="12" t="str">
        <f t="shared" si="6"/>
        <v/>
      </c>
      <c r="M26" s="12" t="str">
        <f t="shared" si="7"/>
        <v/>
      </c>
    </row>
    <row r="27" spans="1:13">
      <c r="A27" s="4"/>
      <c r="B27" s="4"/>
      <c r="C27" s="6"/>
      <c r="D27" s="6"/>
      <c r="E27" s="6"/>
      <c r="F27" s="6"/>
      <c r="G27" s="6"/>
      <c r="H27" s="6"/>
      <c r="I27" s="6"/>
      <c r="J27" s="11" t="str">
        <f t="shared" si="4"/>
        <v/>
      </c>
      <c r="K27" s="11" t="str">
        <f t="shared" si="5"/>
        <v/>
      </c>
      <c r="L27" s="12" t="str">
        <f t="shared" si="6"/>
        <v/>
      </c>
      <c r="M27" s="12" t="str">
        <f t="shared" si="7"/>
        <v/>
      </c>
    </row>
    <row r="28" spans="1:13">
      <c r="A28" s="4"/>
      <c r="B28" s="4"/>
      <c r="C28" s="6"/>
      <c r="D28" s="6"/>
      <c r="E28" s="6"/>
      <c r="F28" s="6"/>
      <c r="G28" s="6"/>
      <c r="H28" s="6"/>
      <c r="I28" s="6"/>
      <c r="J28" s="11" t="str">
        <f t="shared" si="4"/>
        <v/>
      </c>
      <c r="K28" s="11" t="str">
        <f t="shared" si="5"/>
        <v/>
      </c>
      <c r="L28" s="12" t="str">
        <f t="shared" si="6"/>
        <v/>
      </c>
      <c r="M28" s="12" t="str">
        <f t="shared" si="7"/>
        <v/>
      </c>
    </row>
    <row r="29" spans="1:13">
      <c r="A29" s="4"/>
      <c r="B29" s="4"/>
      <c r="C29" s="6"/>
      <c r="D29" s="6"/>
      <c r="E29" s="6"/>
      <c r="F29" s="6"/>
      <c r="G29" s="6"/>
      <c r="H29" s="6"/>
      <c r="I29" s="6"/>
      <c r="J29" s="11" t="str">
        <f t="shared" si="4"/>
        <v/>
      </c>
      <c r="K29" s="11" t="str">
        <f t="shared" si="5"/>
        <v/>
      </c>
      <c r="L29" s="12" t="str">
        <f t="shared" si="6"/>
        <v/>
      </c>
      <c r="M29" s="12" t="str">
        <f t="shared" si="7"/>
        <v/>
      </c>
    </row>
    <row r="30" spans="1:13">
      <c r="A30" s="4"/>
      <c r="B30" s="4"/>
      <c r="C30" s="6"/>
      <c r="D30" s="6"/>
      <c r="E30" s="6"/>
      <c r="F30" s="6"/>
      <c r="G30" s="6"/>
      <c r="H30" s="6"/>
      <c r="I30" s="6"/>
      <c r="J30" s="11" t="str">
        <f t="shared" si="4"/>
        <v/>
      </c>
      <c r="K30" s="11" t="str">
        <f t="shared" si="5"/>
        <v/>
      </c>
      <c r="L30" s="12" t="str">
        <f t="shared" si="6"/>
        <v/>
      </c>
      <c r="M30" s="12" t="str">
        <f t="shared" si="7"/>
        <v/>
      </c>
    </row>
    <row r="31" spans="1:13">
      <c r="A31" s="4"/>
      <c r="B31" s="4"/>
      <c r="C31" s="6"/>
      <c r="D31" s="6"/>
      <c r="E31" s="6"/>
      <c r="F31" s="6"/>
      <c r="G31" s="6"/>
      <c r="H31" s="6"/>
      <c r="I31" s="6"/>
      <c r="J31" s="11" t="str">
        <f t="shared" si="4"/>
        <v/>
      </c>
      <c r="K31" s="11" t="str">
        <f t="shared" si="5"/>
        <v/>
      </c>
      <c r="L31" s="12" t="str">
        <f t="shared" si="6"/>
        <v/>
      </c>
      <c r="M31" s="12" t="str">
        <f t="shared" si="7"/>
        <v/>
      </c>
    </row>
    <row r="32" spans="1:13">
      <c r="A32" s="4"/>
      <c r="B32" s="4"/>
      <c r="C32" s="6"/>
      <c r="D32" s="6"/>
      <c r="E32" s="6"/>
      <c r="F32" s="6"/>
      <c r="G32" s="6"/>
      <c r="H32" s="6"/>
      <c r="I32" s="6"/>
      <c r="J32" s="11" t="str">
        <f t="shared" si="4"/>
        <v/>
      </c>
      <c r="K32" s="11" t="str">
        <f t="shared" si="5"/>
        <v/>
      </c>
      <c r="L32" s="12" t="str">
        <f t="shared" si="6"/>
        <v/>
      </c>
      <c r="M32" s="12" t="str">
        <f t="shared" si="7"/>
        <v/>
      </c>
    </row>
    <row r="33" spans="1:13">
      <c r="A33" s="4"/>
      <c r="B33" s="4"/>
      <c r="C33" s="6"/>
      <c r="D33" s="6"/>
      <c r="E33" s="6"/>
      <c r="F33" s="6"/>
      <c r="G33" s="6"/>
      <c r="H33" s="6"/>
      <c r="I33" s="6"/>
      <c r="J33" s="11" t="str">
        <f t="shared" si="4"/>
        <v/>
      </c>
      <c r="K33" s="11" t="str">
        <f t="shared" si="5"/>
        <v/>
      </c>
      <c r="L33" s="12" t="str">
        <f t="shared" si="6"/>
        <v/>
      </c>
      <c r="M33" s="12" t="str">
        <f t="shared" si="7"/>
        <v/>
      </c>
    </row>
    <row r="34" spans="1:13">
      <c r="A34" s="4"/>
      <c r="B34" s="4"/>
      <c r="C34" s="6"/>
      <c r="D34" s="6"/>
      <c r="E34" s="6"/>
      <c r="F34" s="6"/>
      <c r="G34" s="6"/>
      <c r="H34" s="6"/>
      <c r="I34" s="6"/>
      <c r="J34" s="11" t="str">
        <f t="shared" si="4"/>
        <v/>
      </c>
      <c r="K34" s="11" t="str">
        <f t="shared" si="5"/>
        <v/>
      </c>
      <c r="L34" s="12" t="str">
        <f t="shared" si="6"/>
        <v/>
      </c>
      <c r="M34" s="12" t="str">
        <f t="shared" si="7"/>
        <v/>
      </c>
    </row>
    <row r="35" spans="1:13">
      <c r="A35" s="4"/>
      <c r="B35" s="4"/>
      <c r="C35" s="6"/>
      <c r="D35" s="6"/>
      <c r="E35" s="6"/>
      <c r="F35" s="6"/>
      <c r="G35" s="6"/>
      <c r="H35" s="6"/>
      <c r="I35" s="6"/>
      <c r="J35" s="11" t="str">
        <f t="shared" si="4"/>
        <v/>
      </c>
      <c r="K35" s="11" t="str">
        <f t="shared" si="5"/>
        <v/>
      </c>
      <c r="L35" s="12" t="str">
        <f t="shared" si="6"/>
        <v/>
      </c>
      <c r="M35" s="12" t="str">
        <f t="shared" si="7"/>
        <v/>
      </c>
    </row>
    <row r="36" spans="1:13">
      <c r="A36" s="4"/>
      <c r="B36" s="4"/>
      <c r="C36" s="6"/>
      <c r="D36" s="6"/>
      <c r="E36" s="6"/>
      <c r="F36" s="6"/>
      <c r="G36" s="6"/>
      <c r="H36" s="6"/>
      <c r="I36" s="6"/>
      <c r="J36" s="11" t="str">
        <f t="shared" si="4"/>
        <v/>
      </c>
      <c r="K36" s="11" t="str">
        <f t="shared" si="5"/>
        <v/>
      </c>
      <c r="L36" s="12" t="str">
        <f t="shared" si="6"/>
        <v/>
      </c>
      <c r="M36" s="12" t="str">
        <f t="shared" si="7"/>
        <v/>
      </c>
    </row>
    <row r="37" spans="1:13">
      <c r="A37" s="4"/>
      <c r="B37" s="4"/>
      <c r="C37" s="6"/>
      <c r="D37" s="6"/>
      <c r="E37" s="6"/>
      <c r="F37" s="6"/>
      <c r="G37" s="6"/>
      <c r="H37" s="6"/>
      <c r="I37" s="6"/>
      <c r="J37" s="11" t="str">
        <f t="shared" si="4"/>
        <v/>
      </c>
      <c r="K37" s="11" t="str">
        <f t="shared" si="5"/>
        <v/>
      </c>
      <c r="L37" s="12" t="str">
        <f t="shared" si="6"/>
        <v/>
      </c>
      <c r="M37" s="12" t="str">
        <f t="shared" si="7"/>
        <v/>
      </c>
    </row>
    <row r="38" spans="1:13">
      <c r="A38" s="4"/>
      <c r="B38" s="4"/>
      <c r="C38" s="6"/>
      <c r="D38" s="6"/>
      <c r="E38" s="6"/>
      <c r="F38" s="6"/>
      <c r="G38" s="6"/>
      <c r="H38" s="6"/>
      <c r="I38" s="6"/>
      <c r="J38" s="11" t="str">
        <f t="shared" si="4"/>
        <v/>
      </c>
      <c r="K38" s="11" t="str">
        <f t="shared" si="5"/>
        <v/>
      </c>
      <c r="L38" s="12" t="str">
        <f t="shared" si="6"/>
        <v/>
      </c>
      <c r="M38" s="12" t="str">
        <f t="shared" si="7"/>
        <v/>
      </c>
    </row>
    <row r="39" spans="1:13">
      <c r="A39" s="4"/>
      <c r="B39" s="4"/>
      <c r="C39" s="6"/>
      <c r="D39" s="6"/>
      <c r="E39" s="6"/>
      <c r="F39" s="6"/>
      <c r="G39" s="6"/>
      <c r="H39" s="6"/>
      <c r="I39" s="6"/>
      <c r="J39" s="11" t="str">
        <f t="shared" si="4"/>
        <v/>
      </c>
      <c r="K39" s="11" t="str">
        <f t="shared" si="5"/>
        <v/>
      </c>
      <c r="L39" s="12" t="str">
        <f t="shared" si="6"/>
        <v/>
      </c>
      <c r="M39" s="12" t="str">
        <f t="shared" si="7"/>
        <v/>
      </c>
    </row>
    <row r="40" spans="1:13">
      <c r="A40" s="4"/>
      <c r="B40" s="4"/>
      <c r="C40" s="6"/>
      <c r="D40" s="6"/>
      <c r="E40" s="6"/>
      <c r="F40" s="6"/>
      <c r="G40" s="6"/>
      <c r="H40" s="6"/>
      <c r="I40" s="6"/>
      <c r="J40" s="11" t="str">
        <f t="shared" si="4"/>
        <v/>
      </c>
      <c r="K40" s="11" t="str">
        <f t="shared" si="5"/>
        <v/>
      </c>
      <c r="L40" s="12" t="str">
        <f t="shared" si="6"/>
        <v/>
      </c>
      <c r="M40" s="12" t="str">
        <f t="shared" si="7"/>
        <v/>
      </c>
    </row>
    <row r="41" spans="1:13">
      <c r="A41" s="4"/>
      <c r="B41" s="4"/>
      <c r="C41" s="6"/>
      <c r="D41" s="6"/>
      <c r="E41" s="6"/>
      <c r="F41" s="6"/>
      <c r="G41" s="6"/>
      <c r="H41" s="6"/>
      <c r="I41" s="6"/>
      <c r="J41" s="11" t="str">
        <f t="shared" si="4"/>
        <v/>
      </c>
      <c r="K41" s="11" t="str">
        <f t="shared" si="5"/>
        <v/>
      </c>
      <c r="L41" s="12" t="str">
        <f t="shared" si="6"/>
        <v/>
      </c>
      <c r="M41" s="12" t="str">
        <f t="shared" si="7"/>
        <v/>
      </c>
    </row>
    <row r="42" spans="1:13">
      <c r="A42" s="4"/>
      <c r="B42" s="4"/>
      <c r="C42" s="6"/>
      <c r="D42" s="6"/>
      <c r="E42" s="6"/>
      <c r="F42" s="6"/>
      <c r="G42" s="6"/>
      <c r="H42" s="6"/>
      <c r="I42" s="6"/>
      <c r="J42" s="11" t="str">
        <f t="shared" si="4"/>
        <v/>
      </c>
      <c r="K42" s="11" t="str">
        <f t="shared" si="5"/>
        <v/>
      </c>
      <c r="L42" s="12" t="str">
        <f t="shared" si="6"/>
        <v/>
      </c>
      <c r="M42" s="12" t="str">
        <f t="shared" si="7"/>
        <v/>
      </c>
    </row>
    <row r="43" spans="1:13">
      <c r="A43" s="4"/>
      <c r="B43" s="4"/>
      <c r="C43" s="6"/>
      <c r="D43" s="6"/>
      <c r="E43" s="6"/>
      <c r="F43" s="6"/>
      <c r="G43" s="6"/>
      <c r="H43" s="6"/>
      <c r="I43" s="6"/>
      <c r="J43" s="11" t="str">
        <f t="shared" si="4"/>
        <v/>
      </c>
      <c r="K43" s="11" t="str">
        <f t="shared" si="5"/>
        <v/>
      </c>
      <c r="L43" s="12" t="str">
        <f t="shared" si="6"/>
        <v/>
      </c>
      <c r="M43" s="12" t="str">
        <f t="shared" si="7"/>
        <v/>
      </c>
    </row>
  </sheetData>
  <dataValidations count="1">
    <dataValidation type="decimal" operator="between" allowBlank="1" showErrorMessage="1" error="Numbers only" sqref="C4:I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E66"/>
  <sheetViews>
    <sheetView workbookViewId="0">
      <pane ySplit="3" topLeftCell="A4" activePane="bottomLeft" state="frozen"/>
      <selection/>
      <selection pane="bottomLeft" activeCell="E18" sqref="E18"/>
    </sheetView>
  </sheetViews>
  <sheetFormatPr defaultColWidth="8.67592592592593" defaultRowHeight="14.4" outlineLevelCol="4"/>
  <cols>
    <col min="1" max="1" width="14" customWidth="1"/>
    <col min="2" max="2" width="24" customWidth="1"/>
    <col min="3" max="3" width="12" customWidth="1"/>
    <col min="4" max="4" width="8" customWidth="1"/>
    <col min="5" max="5" width="117.555555555556" customWidth="1"/>
  </cols>
  <sheetData>
    <row r="1" ht="17.4" spans="1:5">
      <c r="A1" s="1" t="s">
        <v>149</v>
      </c>
    </row>
    <row r="2" spans="1:5">
      <c r="A2" s="2" t="s">
        <v>150</v>
      </c>
    </row>
    <row r="3" ht="30" customHeight="1" spans="1:5">
      <c r="A3" s="3" t="s">
        <v>151</v>
      </c>
      <c r="B3" s="3" t="s">
        <v>152</v>
      </c>
      <c r="C3" s="3" t="s">
        <v>102</v>
      </c>
      <c r="D3" s="3" t="s">
        <v>122</v>
      </c>
      <c r="E3" s="3" t="s">
        <v>153</v>
      </c>
    </row>
    <row r="4" spans="1:5">
      <c r="A4" s="4" t="s">
        <v>55</v>
      </c>
      <c r="B4" s="4" t="s">
        <v>154</v>
      </c>
      <c r="C4" s="5">
        <v>46323</v>
      </c>
      <c r="D4" s="6"/>
      <c r="E4" s="7" t="s">
        <v>155</v>
      </c>
    </row>
    <row r="5" spans="1:5">
      <c r="A5" s="4" t="s">
        <v>55</v>
      </c>
      <c r="B5" s="4" t="s">
        <v>156</v>
      </c>
      <c r="C5" s="5">
        <v>46323</v>
      </c>
      <c r="D5" s="6"/>
      <c r="E5" s="7" t="s">
        <v>157</v>
      </c>
    </row>
    <row r="6" spans="1:5">
      <c r="A6" s="4" t="s">
        <v>158</v>
      </c>
      <c r="B6" s="4" t="s">
        <v>159</v>
      </c>
      <c r="C6" s="5">
        <v>46323</v>
      </c>
      <c r="D6" s="6"/>
      <c r="E6" s="8" t="s">
        <v>160</v>
      </c>
    </row>
    <row r="7" spans="1:5">
      <c r="A7" s="4" t="s">
        <v>161</v>
      </c>
      <c r="B7" s="4" t="s">
        <v>123</v>
      </c>
      <c r="C7" s="5">
        <v>46322</v>
      </c>
      <c r="D7" s="6">
        <v>2</v>
      </c>
      <c r="E7" s="8" t="s">
        <v>162</v>
      </c>
    </row>
    <row r="8" spans="1:5">
      <c r="A8" s="4" t="s">
        <v>161</v>
      </c>
      <c r="B8" s="4" t="s">
        <v>125</v>
      </c>
      <c r="C8" s="5">
        <v>46322</v>
      </c>
      <c r="D8" s="6">
        <v>6</v>
      </c>
      <c r="E8" s="8" t="s">
        <v>163</v>
      </c>
    </row>
    <row r="9" spans="1:5">
      <c r="A9" s="4" t="s">
        <v>161</v>
      </c>
      <c r="B9" s="4" t="s">
        <v>164</v>
      </c>
      <c r="C9" s="5">
        <v>46322</v>
      </c>
      <c r="D9" s="6">
        <v>1</v>
      </c>
      <c r="E9" s="8" t="s">
        <v>165</v>
      </c>
    </row>
    <row r="10" spans="1:5">
      <c r="A10" s="4" t="s">
        <v>161</v>
      </c>
      <c r="B10" s="4" t="s">
        <v>166</v>
      </c>
      <c r="C10" s="5">
        <v>46322</v>
      </c>
      <c r="D10" s="6">
        <v>2</v>
      </c>
      <c r="E10" s="8" t="s">
        <v>167</v>
      </c>
    </row>
    <row r="11" spans="1:5">
      <c r="A11" s="4"/>
      <c r="B11" s="4"/>
      <c r="C11" s="5"/>
      <c r="D11" s="6"/>
      <c r="E11" s="8"/>
    </row>
    <row r="12" spans="1:5">
      <c r="A12" s="4"/>
      <c r="B12" s="4"/>
      <c r="C12" s="5"/>
      <c r="D12" s="6"/>
      <c r="E12" s="7"/>
    </row>
    <row r="13" spans="1:5">
      <c r="A13" s="4"/>
      <c r="B13" s="4"/>
      <c r="C13" s="5"/>
      <c r="D13" s="6"/>
      <c r="E13" s="7"/>
    </row>
    <row r="14" spans="1:5">
      <c r="A14" s="4"/>
      <c r="B14" s="4"/>
      <c r="C14" s="5"/>
      <c r="D14" s="6"/>
      <c r="E14" s="7"/>
    </row>
    <row r="15" spans="1:5">
      <c r="A15" s="4"/>
      <c r="B15" s="4"/>
      <c r="C15" s="5"/>
      <c r="D15" s="6"/>
      <c r="E15" s="7"/>
    </row>
    <row r="16" spans="1:5">
      <c r="A16" s="4"/>
      <c r="B16" s="4"/>
      <c r="C16" s="5"/>
      <c r="D16" s="6"/>
      <c r="E16" s="7"/>
    </row>
    <row r="17" spans="1:5">
      <c r="A17" s="4"/>
      <c r="B17" s="4"/>
      <c r="C17" s="5"/>
      <c r="D17" s="6"/>
      <c r="E17" s="7"/>
    </row>
    <row r="18" spans="1:5">
      <c r="A18" s="4"/>
      <c r="B18" s="4"/>
      <c r="C18" s="5"/>
      <c r="D18" s="6"/>
      <c r="E18" s="7"/>
    </row>
    <row r="19" spans="1:5">
      <c r="A19" s="4"/>
      <c r="B19" s="4"/>
      <c r="C19" s="5"/>
      <c r="D19" s="6"/>
      <c r="E19" s="7"/>
    </row>
    <row r="20" spans="1:5">
      <c r="A20" s="4"/>
      <c r="B20" s="4"/>
      <c r="C20" s="5"/>
      <c r="D20" s="6"/>
      <c r="E20" s="7"/>
    </row>
    <row r="21" spans="1:5">
      <c r="A21" s="4"/>
      <c r="B21" s="4"/>
      <c r="C21" s="5"/>
      <c r="D21" s="6"/>
      <c r="E21" s="7"/>
    </row>
    <row r="22" spans="1:5">
      <c r="A22" s="4"/>
      <c r="B22" s="4"/>
      <c r="C22" s="5"/>
      <c r="D22" s="6"/>
      <c r="E22" s="7"/>
    </row>
    <row r="23" spans="1:5">
      <c r="A23" s="4"/>
      <c r="B23" s="4"/>
      <c r="C23" s="5"/>
      <c r="D23" s="6"/>
      <c r="E23" s="7"/>
    </row>
    <row r="24" spans="1:5">
      <c r="A24" s="4"/>
      <c r="B24" s="4"/>
      <c r="C24" s="5"/>
      <c r="D24" s="6"/>
      <c r="E24" s="7"/>
    </row>
    <row r="25" spans="1:5">
      <c r="A25" s="4"/>
      <c r="B25" s="4"/>
      <c r="C25" s="5"/>
      <c r="D25" s="6"/>
      <c r="E25" s="7"/>
    </row>
    <row r="26" spans="1:5">
      <c r="A26" s="4"/>
      <c r="B26" s="4"/>
      <c r="C26" s="5"/>
      <c r="D26" s="6"/>
      <c r="E26" s="7"/>
    </row>
    <row r="27" spans="1:5">
      <c r="A27" s="4"/>
      <c r="B27" s="4"/>
      <c r="C27" s="5"/>
      <c r="D27" s="6"/>
      <c r="E27" s="7"/>
    </row>
    <row r="28" spans="1:5">
      <c r="A28" s="4"/>
      <c r="B28" s="4"/>
      <c r="C28" s="5"/>
      <c r="D28" s="6"/>
      <c r="E28" s="7"/>
    </row>
    <row r="29" spans="1:5">
      <c r="A29" s="4"/>
      <c r="B29" s="4"/>
      <c r="C29" s="5"/>
      <c r="D29" s="6"/>
      <c r="E29" s="7"/>
    </row>
    <row r="30" spans="1:5">
      <c r="A30" s="4"/>
      <c r="B30" s="4"/>
      <c r="C30" s="5"/>
      <c r="D30" s="6"/>
      <c r="E30" s="7"/>
    </row>
    <row r="31" spans="1:5">
      <c r="A31" s="4"/>
      <c r="B31" s="4"/>
      <c r="C31" s="5"/>
      <c r="D31" s="6"/>
      <c r="E31" s="7"/>
    </row>
    <row r="32" spans="1:5">
      <c r="A32" s="4"/>
      <c r="B32" s="4"/>
      <c r="C32" s="5"/>
      <c r="D32" s="6"/>
      <c r="E32" s="7"/>
    </row>
    <row r="33" spans="1:5">
      <c r="A33" s="4"/>
      <c r="B33" s="4"/>
      <c r="C33" s="5"/>
      <c r="D33" s="6"/>
      <c r="E33" s="7"/>
    </row>
    <row r="34" spans="1:5">
      <c r="A34" s="4"/>
      <c r="B34" s="4"/>
      <c r="C34" s="5"/>
      <c r="D34" s="6"/>
      <c r="E34" s="7"/>
    </row>
    <row r="35" spans="1:5">
      <c r="A35" s="4"/>
      <c r="B35" s="4"/>
      <c r="C35" s="5"/>
      <c r="D35" s="6"/>
      <c r="E35" s="7"/>
    </row>
    <row r="36" spans="1:5">
      <c r="A36" s="4"/>
      <c r="B36" s="4"/>
      <c r="C36" s="5"/>
      <c r="D36" s="6"/>
      <c r="E36" s="7"/>
    </row>
    <row r="37" spans="1:5">
      <c r="A37" s="4"/>
      <c r="B37" s="4"/>
      <c r="C37" s="5"/>
      <c r="D37" s="6"/>
      <c r="E37" s="7"/>
    </row>
    <row r="38" spans="1:5">
      <c r="A38" s="4"/>
      <c r="B38" s="4"/>
      <c r="C38" s="5"/>
      <c r="D38" s="6"/>
      <c r="E38" s="7"/>
    </row>
    <row r="39" spans="1:5">
      <c r="A39" s="4"/>
      <c r="B39" s="4"/>
      <c r="C39" s="5"/>
      <c r="D39" s="6"/>
      <c r="E39" s="7"/>
    </row>
    <row r="40" spans="1:5">
      <c r="A40" s="4"/>
      <c r="B40" s="4"/>
      <c r="C40" s="5"/>
      <c r="D40" s="6"/>
      <c r="E40" s="7"/>
    </row>
    <row r="41" spans="1:5">
      <c r="A41" s="4"/>
      <c r="B41" s="4"/>
      <c r="C41" s="5"/>
      <c r="D41" s="6"/>
      <c r="E41" s="7"/>
    </row>
    <row r="42" spans="1:5">
      <c r="A42" s="4"/>
      <c r="B42" s="4"/>
      <c r="C42" s="5"/>
      <c r="D42" s="6"/>
      <c r="E42" s="7"/>
    </row>
    <row r="43" spans="1:5">
      <c r="A43" s="4"/>
      <c r="B43" s="4"/>
      <c r="C43" s="5"/>
      <c r="D43" s="6"/>
      <c r="E43" s="7"/>
    </row>
    <row r="44" spans="1:5">
      <c r="A44" s="4"/>
      <c r="B44" s="4"/>
      <c r="C44" s="5"/>
      <c r="D44" s="6"/>
      <c r="E44" s="7"/>
    </row>
    <row r="45" spans="1:5">
      <c r="A45" s="4"/>
      <c r="B45" s="4"/>
      <c r="C45" s="5"/>
      <c r="D45" s="6"/>
      <c r="E45" s="7"/>
    </row>
    <row r="46" spans="1:5">
      <c r="A46" s="4"/>
      <c r="B46" s="4"/>
      <c r="C46" s="5"/>
      <c r="D46" s="6"/>
      <c r="E46" s="7"/>
    </row>
    <row r="47" spans="1:5">
      <c r="A47" s="4"/>
      <c r="B47" s="4"/>
      <c r="C47" s="5"/>
      <c r="D47" s="6"/>
      <c r="E47" s="7"/>
    </row>
    <row r="48" spans="1:5">
      <c r="A48" s="4"/>
      <c r="B48" s="4"/>
      <c r="C48" s="5"/>
      <c r="D48" s="6"/>
      <c r="E48" s="7"/>
    </row>
    <row r="49" spans="1:5">
      <c r="A49" s="4"/>
      <c r="B49" s="4"/>
      <c r="C49" s="5"/>
      <c r="D49" s="6"/>
      <c r="E49" s="7"/>
    </row>
    <row r="50" spans="1:5">
      <c r="A50" s="4"/>
      <c r="B50" s="4"/>
      <c r="C50" s="5"/>
      <c r="D50" s="6"/>
      <c r="E50" s="7"/>
    </row>
    <row r="51" spans="1:5">
      <c r="A51" s="4"/>
      <c r="B51" s="4"/>
      <c r="C51" s="5"/>
      <c r="D51" s="6"/>
      <c r="E51" s="7"/>
    </row>
    <row r="52" spans="1:5">
      <c r="A52" s="4"/>
      <c r="B52" s="4"/>
      <c r="C52" s="5"/>
      <c r="D52" s="6"/>
      <c r="E52" s="7"/>
    </row>
    <row r="53" spans="1:5">
      <c r="A53" s="4"/>
      <c r="B53" s="4"/>
      <c r="C53" s="5"/>
      <c r="D53" s="6"/>
      <c r="E53" s="7"/>
    </row>
    <row r="54" spans="1:5">
      <c r="A54" s="4"/>
      <c r="B54" s="4"/>
      <c r="C54" s="5"/>
      <c r="D54" s="6"/>
      <c r="E54" s="7"/>
    </row>
    <row r="55" spans="1:5">
      <c r="A55" s="4"/>
      <c r="B55" s="4"/>
      <c r="C55" s="5"/>
      <c r="D55" s="6"/>
      <c r="E55" s="7"/>
    </row>
    <row r="56" spans="1:5">
      <c r="A56" s="4"/>
      <c r="B56" s="4"/>
      <c r="C56" s="5"/>
      <c r="D56" s="6"/>
      <c r="E56" s="7"/>
    </row>
    <row r="57" spans="1:5">
      <c r="A57" s="4"/>
      <c r="B57" s="4"/>
      <c r="C57" s="5"/>
      <c r="D57" s="6"/>
      <c r="E57" s="7"/>
    </row>
    <row r="58" spans="1:5">
      <c r="A58" s="4"/>
      <c r="B58" s="4"/>
      <c r="C58" s="5"/>
      <c r="D58" s="6"/>
      <c r="E58" s="7"/>
    </row>
    <row r="59" spans="1:5">
      <c r="A59" s="4"/>
      <c r="B59" s="4"/>
      <c r="C59" s="5"/>
      <c r="D59" s="6"/>
      <c r="E59" s="7"/>
    </row>
    <row r="60" spans="1:5">
      <c r="A60" s="4"/>
      <c r="B60" s="4"/>
      <c r="C60" s="5"/>
      <c r="D60" s="6"/>
      <c r="E60" s="7"/>
    </row>
    <row r="61" spans="1:5">
      <c r="A61" s="4"/>
      <c r="B61" s="4"/>
      <c r="C61" s="5"/>
      <c r="D61" s="6"/>
      <c r="E61" s="7"/>
    </row>
    <row r="62" spans="1:5">
      <c r="A62" s="4"/>
      <c r="B62" s="4"/>
      <c r="C62" s="5"/>
      <c r="D62" s="6"/>
      <c r="E62" s="7"/>
    </row>
    <row r="63" spans="1:5">
      <c r="A63" s="4"/>
      <c r="B63" s="4"/>
      <c r="C63" s="5"/>
      <c r="D63" s="6"/>
      <c r="E63" s="7"/>
    </row>
    <row r="64" spans="1:5">
      <c r="A64" s="4"/>
      <c r="B64" s="4"/>
      <c r="C64" s="5"/>
      <c r="D64" s="6"/>
      <c r="E64" s="7"/>
    </row>
    <row r="65" spans="1:5">
      <c r="A65" s="4"/>
      <c r="B65" s="4"/>
      <c r="C65" s="5"/>
      <c r="D65" s="6"/>
      <c r="E65" s="7"/>
    </row>
    <row r="66" spans="1:5">
      <c r="A66" s="4"/>
      <c r="B66" s="4"/>
      <c r="C66" s="5"/>
      <c r="D66" s="6"/>
      <c r="E66" s="7"/>
    </row>
  </sheetData>
  <dataValidations count="3">
    <dataValidation type="list" allowBlank="1" showErrorMessage="1" error="Pick a value from the list" sqref="A4 A5 A6 A7 A8:A10 A11:A66">
      <formula1>"Fleet,FTTx,FTTx pending"</formula1>
    </dataValidation>
    <dataValidation type="date" operator="greaterThan" allowBlank="1" showErrorMessage="1" error="Enter a date, e.g. 16-Oct-2026" sqref="C6 C10 C4:C5 C7:C9 C11:C66">
      <formula1>45000</formula1>
    </dataValidation>
    <dataValidation type="decimal" operator="between" allowBlank="1" showErrorMessage="1" error="Numbers only" sqref="D6 D4:D5 D7:D66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 me</vt:lpstr>
      <vt:lpstr>Report info</vt:lpstr>
      <vt:lpstr>Fleet by team</vt:lpstr>
      <vt:lpstr>Office cars</vt:lpstr>
      <vt:lpstr>City cars</vt:lpstr>
      <vt:lpstr>Fleet notes</vt:lpstr>
      <vt:lpstr>FTTx blog</vt:lpstr>
      <vt:lpstr>Cable works</vt:lpstr>
      <vt:lpstr>Pending sites</vt:lpstr>
      <vt:lpstr>Box-Ops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WPS_1727927827</cp:lastModifiedBy>
  <cp:revision>0</cp:revision>
  <dcterms:created xsi:type="dcterms:W3CDTF">2026-10-20T11:36:00Z</dcterms:created>
  <dcterms:modified xsi:type="dcterms:W3CDTF">2026-10-28T04:25:04Z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801461EDF6E347AAB0DD872DA5023537_13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