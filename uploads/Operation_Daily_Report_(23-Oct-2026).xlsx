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460" tabRatio="500" activeTab="1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<sst xmlns="http://schemas.openxmlformats.org/spreadsheetml/2006/main" count="274" uniqueCount="183">
  <si>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</si>
  <si>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</si>
  <si>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</si>
  <si>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</si>
  <si>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</si>
  <si>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</si>
  <si>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</si>
  <si>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</si>
  <si>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</si>
  <si>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</si>
  <si>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</si>
  <si>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</si>
  <si>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</si>
  <si>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</si>
  <si>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</si>
  <si>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</si>
  <si>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</si>
  <si>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</si>
  <si>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</si>
  <si>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</si>
  <si>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</si>
  <si>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</si>
  <si>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</si>
  <si>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</si>
  <si>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</si>
  <si>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</si>
  <si>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</si>
  <si>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</si>
  <si>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</si>
  <si>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</si>
  <si>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</si>
  <si>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</si>
  <si>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</si>
  <si>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</si>
  <si>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</si>
  <si>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</si>
  <si>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</si>
  <si>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</si>
  <si>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</si>
  <si>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</si>
  <si>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</si>
  <si>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</si>
  <si>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</si>
  <si>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</si>
  <si>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</si>
  <si>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</si>
  <si>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</si>
  <si>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</si>
  <si>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</si>
  <si>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</si>
  <si>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</si>
  <si>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</si>
  <si>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</si>
  <si>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</si>
  <si>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FinSbS2</t>
  </si>
  <si>
    <t>Fleet</t>
  </si>
  <si>
    <t>HR</t>
  </si>
  <si>
    <t>Impl-QC</t>
  </si>
  <si>
    <t>Impl-SbS</t>
  </si>
  <si>
    <t>Logistics</t>
  </si>
  <si>
    <t>MKT</t>
  </si>
  <si>
    <t>PMOps</t>
  </si>
  <si>
    <t>Procurement</t>
  </si>
  <si>
    <t>Provisioning</t>
  </si>
  <si>
    <t>Reseller-SbS</t>
  </si>
  <si>
    <t>StraOps</t>
  </si>
  <si>
    <t>Treasury-GC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</si>
  <si>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</si>
  <si>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</si>
  <si>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</si>
  <si>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</si>
  <si>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</si>
  <si>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</si>
  <si>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</si>
  <si>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</si>
  <si>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</si>
  <si>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</si>
  <si>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</si>
  <si>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</si>
  <si>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</si>
  <si>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</si>
  <si>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</si>
  <si>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</si>
  <si>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</si>
  <si>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</si>
  <si>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</si>
  <si>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</si>
  <si>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</si>
  <si>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</si>
  <si>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</si>
  <si>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</si>
  <si>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</si>
  <si>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</si>
  <si>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</si>
  <si>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</si>
  <si>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</si>
  <si>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</si>
  <si>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</si>
  <si>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</si>
  <si>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</si>
  <si>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</si>
  <si>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</si>
  <si>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</si>
  <si>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</si>
  <si>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</si>
  <si>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</si>
  <si>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</si>
  <si>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</si>
  <si>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</si>
  <si>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</si>
  <si>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</si>
  <si>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</si>
  <si>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</si>
  <si>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</si>
  <si>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</si>
  <si>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</si>
  <si>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</si>
  <si>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</si>
  <si>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</si>
  <si>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</si>
  <si>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ဗိုလ်ချုပ်လမ်းထောင့် မင်းဓမ္မလမ်း</t>
  </si>
  <si>
    <t>DNY</t>
  </si>
  <si>
    <t>Cable Cleaning</t>
  </si>
  <si>
    <t>(ဦးဝိစာရရပ်ကွက်) အမျိုးသားရေကူးကန်ရှေ့ (ဦးဝိစာရလမ်း)</t>
  </si>
  <si>
    <t>HRY</t>
  </si>
  <si>
    <t>(၁၂) ရပ်ကွက် ဦးဥတ္တမလမ်းတောင့် (တပင်ရွှေထီးလမ်း)</t>
  </si>
  <si>
    <t>(၃) ရပ်ကွက် Myanmar Convention Centre ရှေ့ (မင်းဓမ္မလမ်း)</t>
  </si>
  <si>
    <t>HGY</t>
  </si>
  <si>
    <t>(၁၆) ရပ်ကွက် ‌အေးရိပ်မွန်(၁)လမ်း ထောင့်(လှိုင်ဘူးတာရုံလမ်း)</t>
  </si>
  <si>
    <t>R2S</t>
  </si>
  <si>
    <t>BGY</t>
  </si>
  <si>
    <t>(၆) ရပ်ကွက် ၅၁လမ်းထောင့် (ကုန်သည်လမ်း)</t>
  </si>
  <si>
    <t>SRY</t>
  </si>
  <si>
    <t>(၁) ရပ်ကွက်LEARN English Training Center ရှေ့ (စက်မှုဇုန်လမ်း)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</si>
  <si>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</si>
  <si>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</si>
  <si>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</si>
  <si>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</si>
  <si>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</si>
  <si>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</si>
  <si>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CA1</t>
  </si>
  <si>
    <t>Pending @ Ops Relocation</t>
  </si>
  <si>
    <t>CA2</t>
  </si>
  <si>
    <t>Permission issue</t>
  </si>
  <si>
    <t>Remain CA1 &amp;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</si>
  <si>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</si>
  <si>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</si>
  <si>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</si>
  <si>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</si>
  <si>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</si>
  <si>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</si>
  <si>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</si>
  <si>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</si>
  <si>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</si>
  <si>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</si>
  <si>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</si>
  <si>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</si>
  <si>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</si>
  <si>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</si>
  <si>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</si>
  <si>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</si>
  <si>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</si>
  <si>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</si>
  <si>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</si>
  <si>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</si>
  <si>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</si>
  <si>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</si>
  <si>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</si>
  <si>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</si>
  <si>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</si>
  <si>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</si>
  <si>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</si>
  <si>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FTTx pending</t>
  </si>
  <si>
    <t>Remain CA1 &amp; CA2 Broken</t>
  </si>
  <si>
    <t>-SRY မြို့နယ်မှာ 4:30PM မှ site down တတ်လာတာပါ HRY ကနေ မြို့နယ်ကူးရမှာကို car အဆင်မပြေလို့ မရောက်ခဲ့ပါဘူး (CA1 Highloss-1 site)</t>
  </si>
  <si>
    <t>-HRYမြို့နယ်တွင် blogများပြီးမရောက်ဖြစ်ခဲ့တာပါ/ NS team မရှိပါ(CA2 Highloss-1site)</t>
  </si>
  <si>
    <t>-HRY မြို့နယ်တွင် EPC မှ ကြိုးများဖြတ်ချထားတာပါ / ဒီနေ့ပြန်ဝင်နေပါပြီ (CA2 Broken-1site)</t>
  </si>
  <si>
    <t>-NAY မြို့နယ် ရွှေပေါက်ကံ ဘက် EPC မှ ညဘက်အဝင်မခံသောကြောင့် ကျန်ခဲ့တာပါ(CA2 Highloss-1 site)</t>
  </si>
  <si>
    <t>-KGY မြို့နယ်တွင် ဘုန်းကြီးကျောင်း သော့ပိတ်ထားလို့ လုပ်ငန်းလုပ်ခွင့်မရခဲ့တာပါ(CA2 Broken-1site)</t>
  </si>
  <si>
    <t>Regional Remain CA2</t>
  </si>
  <si>
    <t>-TOBမြို့နယ်တွင် blog က ည‌ 8:00 PM မှဝင်လာပါတယ်/ NS team မရှိပါ (CA2 Broken-1 site)</t>
  </si>
  <si>
    <t>Car Accident</t>
  </si>
  <si>
    <t xml:space="preserve">9S/6972 &gt; BoxOps1 ( Car Accident Case)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</si>
</sst>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/>
    </xf>
    <xf numFmtId="176" fontId="4" fillId="3" borderId="1" xfId="0" applyNumberFormat="1" applyFont="1" applyFill="1" applyBorder="1" applyAlignment="1">
      <alignment vertical="top"/>
    </xf>
    <xf numFmtId="1" fontId="4" fillId="3" borderId="1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/>
    <xf numFmtId="0" fontId="4" fillId="3" borderId="1" xfId="0" applyFont="1" applyFill="1" applyBorder="1" applyAlignment="1"/>
    <xf numFmtId="1" fontId="4" fillId="3" borderId="1" xfId="0" applyNumberFormat="1" applyFont="1" applyFill="1" applyBorder="1" applyAlignment="1">
      <alignment horizontal="right"/>
    </xf>
    <xf numFmtId="176" fontId="4" fillId="3" borderId="1" xfId="0" applyNumberFormat="1" applyFont="1" applyFill="1" applyBorder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topLeftCell="A6" workbookViewId="0">
      <selection activeCell="B13" sqref="B13"/>
    </sheetView>
  </sheetViews>
  <sheetFormatPr defaultColWidth="8.68181818181818" defaultRowHeight="14.5" outlineLevelCol="1"/>
  <cols>
    <col min="1" max="1" width="4" customWidth="1"/>
    <col min="2" max="2" width="100" customWidth="1"/>
  </cols>
  <sheetData>
    <row r="2" ht="20" spans="1:2">
      <c r="B2" s="25" t="s">
        <v>0</v>
      </c>
    </row>
    <row r="3" spans="1:2">
      <c r="B3" s="26" t="s">
        <v>1</v>
      </c>
    </row>
    <row r="5" ht="15.5" spans="1:2">
      <c r="B5" s="27" t="s">
        <v>2</v>
      </c>
    </row>
    <row r="6" spans="1:2">
      <c r="B6" s="26" t="s">
        <v>3</v>
      </c>
    </row>
    <row r="7" spans="1:2">
      <c r="B7" s="26" t="s">
        <v>4</v>
      </c>
    </row>
    <row r="8" spans="1:2">
      <c r="B8" s="26" t="s">
        <v>5</v>
      </c>
    </row>
    <row r="9" spans="1:2">
      <c r="B9" s="26" t="s">
        <v>6</v>
      </c>
    </row>
    <row r="10" spans="1:2">
      <c r="B10" s="26" t="s">
        <v>7</v>
      </c>
    </row>
    <row r="11" spans="1:2">
      <c r="B11" s="26" t="s">
        <v>8</v>
      </c>
    </row>
    <row r="13" ht="15.5" spans="1:2">
      <c r="B13" s="27" t="s">
        <v>9</v>
      </c>
    </row>
    <row r="14" spans="1:2">
      <c r="A14" s="28"/>
      <c r="B14" s="26" t="s">
        <v>10</v>
      </c>
    </row>
    <row r="15" spans="1:2">
      <c r="A15" s="29"/>
      <c r="B15" s="26" t="s">
        <v>11</v>
      </c>
    </row>
    <row r="16" spans="1:2">
      <c r="A16" s="30"/>
      <c r="B16" s="26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pane ySplit="3" topLeftCell="A4" activePane="bottomLeft" state="frozen"/>
      <selection/>
      <selection pane="bottomLeft" activeCell="C12" sqref="C12"/>
    </sheetView>
  </sheetViews>
  <sheetFormatPr defaultColWidth="8.68181818181818" defaultRowHeight="14.5" outlineLevelRow="7" outlineLevelCol="1"/>
  <cols>
    <col min="1" max="2" width="16" customWidth="1"/>
  </cols>
  <sheetData>
    <row r="1" ht="18" spans="1:2">
      <c r="A1" s="1" t="s">
        <v>14</v>
      </c>
    </row>
    <row r="2" spans="1:2">
      <c r="A2" s="2" t="s">
        <v>15</v>
      </c>
    </row>
    <row r="3" spans="1:2">
      <c r="A3" s="22" t="s">
        <v>16</v>
      </c>
      <c r="B3" s="22" t="s">
        <v>17</v>
      </c>
    </row>
    <row r="4" spans="1:2">
      <c r="A4" s="23" t="s">
        <v>18</v>
      </c>
      <c r="B4" s="24">
        <v>46318</v>
      </c>
    </row>
    <row r="5" spans="1:2">
      <c r="A5" s="23" t="s">
        <v>19</v>
      </c>
      <c r="B5" s="12" t="s">
        <v>20</v>
      </c>
    </row>
    <row r="6" spans="1:2">
      <c r="A6" s="23" t="s">
        <v>21</v>
      </c>
      <c r="B6" s="12" t="s">
        <v>22</v>
      </c>
    </row>
    <row r="7" spans="1:2">
      <c r="A7" s="23" t="s">
        <v>23</v>
      </c>
      <c r="B7" s="12" t="s">
        <v>24</v>
      </c>
    </row>
    <row r="8" spans="1:2">
      <c r="A8" s="23" t="s">
        <v>25</v>
      </c>
      <c r="B8" s="12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6"/>
  <sheetViews>
    <sheetView workbookViewId="0">
      <pane ySplit="3" topLeftCell="A4" activePane="bottomLeft" state="frozen"/>
      <selection/>
      <selection pane="bottomLeft" activeCell="C4" sqref="C4:E29"/>
    </sheetView>
  </sheetViews>
  <sheetFormatPr defaultColWidth="8.68181818181818" defaultRowHeight="14.5" outlineLevelCol="5"/>
  <cols>
    <col min="1" max="1" width="16" customWidth="1"/>
    <col min="2" max="2" width="18" customWidth="1"/>
    <col min="3" max="6" width="11" customWidth="1"/>
  </cols>
  <sheetData>
    <row r="1" ht="18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12" t="s">
        <v>35</v>
      </c>
      <c r="B4" s="12" t="s">
        <v>36</v>
      </c>
      <c r="C4" s="14">
        <v>4</v>
      </c>
      <c r="D4" s="14">
        <v>4</v>
      </c>
      <c r="E4" s="14">
        <v>4</v>
      </c>
      <c r="F4" s="16">
        <f>IF(C4&gt;0,E4/C4,"")</f>
        <v>1</v>
      </c>
    </row>
    <row r="5" spans="1:6">
      <c r="A5" s="12" t="s">
        <v>35</v>
      </c>
      <c r="B5" s="12" t="s">
        <v>37</v>
      </c>
      <c r="C5" s="14">
        <v>7</v>
      </c>
      <c r="D5" s="14">
        <v>7</v>
      </c>
      <c r="E5" s="14">
        <v>7</v>
      </c>
      <c r="F5" s="16">
        <f>IF(C5&gt;0,E5/C5,"")</f>
        <v>1</v>
      </c>
    </row>
    <row r="6" spans="1:6">
      <c r="A6" s="12" t="s">
        <v>35</v>
      </c>
      <c r="B6" s="12" t="s">
        <v>38</v>
      </c>
      <c r="C6" s="14">
        <v>3</v>
      </c>
      <c r="D6" s="14">
        <v>3</v>
      </c>
      <c r="E6" s="14">
        <v>3</v>
      </c>
      <c r="F6" s="16">
        <f>IF(C6&gt;0,E6/C6,"")</f>
        <v>1</v>
      </c>
    </row>
    <row r="7" spans="1:6">
      <c r="A7" s="12" t="s">
        <v>35</v>
      </c>
      <c r="B7" s="12" t="s">
        <v>39</v>
      </c>
      <c r="C7" s="14">
        <v>5</v>
      </c>
      <c r="D7" s="14">
        <v>7</v>
      </c>
      <c r="E7" s="14">
        <v>5</v>
      </c>
      <c r="F7" s="16">
        <f>IF(C7&gt;0,E7/C7,"")</f>
        <v>1</v>
      </c>
    </row>
    <row r="8" spans="1:6">
      <c r="A8" s="12" t="s">
        <v>35</v>
      </c>
      <c r="B8" s="12" t="s">
        <v>40</v>
      </c>
      <c r="C8" s="14">
        <v>4</v>
      </c>
      <c r="D8" s="14">
        <v>4</v>
      </c>
      <c r="E8" s="14">
        <v>4</v>
      </c>
      <c r="F8" s="16">
        <f>IF(C8&gt;0,E8/C8,"")</f>
        <v>1</v>
      </c>
    </row>
    <row r="9" spans="1:6">
      <c r="A9" s="12" t="s">
        <v>41</v>
      </c>
      <c r="B9" s="12" t="s">
        <v>42</v>
      </c>
      <c r="C9" s="14">
        <v>7</v>
      </c>
      <c r="D9" s="14">
        <v>7</v>
      </c>
      <c r="E9" s="14">
        <v>7</v>
      </c>
      <c r="F9" s="16">
        <f>IF(C9&gt;0,E9/C9,"")</f>
        <v>1</v>
      </c>
    </row>
    <row r="10" spans="1:6">
      <c r="A10" s="12" t="s">
        <v>41</v>
      </c>
      <c r="B10" s="12" t="s">
        <v>43</v>
      </c>
      <c r="C10" s="14">
        <v>12</v>
      </c>
      <c r="D10" s="14">
        <v>12</v>
      </c>
      <c r="E10" s="14">
        <v>12</v>
      </c>
      <c r="F10" s="16">
        <f>IF(C10&gt;0,E10/C10,"")</f>
        <v>1</v>
      </c>
    </row>
    <row r="11" spans="1:6">
      <c r="A11" s="12" t="s">
        <v>44</v>
      </c>
      <c r="B11" s="12" t="s">
        <v>45</v>
      </c>
      <c r="C11" s="14">
        <v>24</v>
      </c>
      <c r="D11" s="14">
        <v>25</v>
      </c>
      <c r="E11" s="14">
        <v>24</v>
      </c>
      <c r="F11" s="16">
        <f>IF(C11&gt;0,E11/C11,"")</f>
        <v>1</v>
      </c>
    </row>
    <row r="12" spans="1:6">
      <c r="A12" s="12" t="s">
        <v>44</v>
      </c>
      <c r="B12" s="12" t="s">
        <v>46</v>
      </c>
      <c r="C12" s="14">
        <v>41</v>
      </c>
      <c r="D12" s="14">
        <v>41</v>
      </c>
      <c r="E12" s="14">
        <v>41</v>
      </c>
      <c r="F12" s="16">
        <f>IF(C12&gt;0,E12/C12,"")</f>
        <v>1</v>
      </c>
    </row>
    <row r="13" spans="1:6">
      <c r="A13" s="12" t="s">
        <v>47</v>
      </c>
      <c r="B13" s="12" t="s">
        <v>48</v>
      </c>
      <c r="C13" s="14">
        <v>13</v>
      </c>
      <c r="D13" s="14">
        <v>13</v>
      </c>
      <c r="E13" s="14">
        <v>13</v>
      </c>
      <c r="F13" s="16">
        <f>IF(C13&gt;0,E13/C13,"")</f>
        <v>1</v>
      </c>
    </row>
    <row r="14" spans="1:6">
      <c r="A14" s="12" t="s">
        <v>49</v>
      </c>
      <c r="B14" s="12" t="s">
        <v>50</v>
      </c>
      <c r="C14" s="14">
        <v>6</v>
      </c>
      <c r="D14" s="14">
        <v>6</v>
      </c>
      <c r="E14" s="14">
        <v>6</v>
      </c>
      <c r="F14" s="16">
        <f>IF(C14&gt;0,E14/C14,"")</f>
        <v>1</v>
      </c>
    </row>
    <row r="15" spans="1:6">
      <c r="A15" s="12" t="s">
        <v>49</v>
      </c>
      <c r="B15" s="12" t="s">
        <v>51</v>
      </c>
      <c r="C15" s="14">
        <v>11</v>
      </c>
      <c r="D15" s="14">
        <v>10</v>
      </c>
      <c r="E15" s="14">
        <v>11</v>
      </c>
      <c r="F15" s="16">
        <f>IF(C15&gt;0,E15/C15,"")</f>
        <v>1</v>
      </c>
    </row>
    <row r="16" spans="1:6">
      <c r="A16" s="12" t="s">
        <v>52</v>
      </c>
      <c r="B16" s="12" t="s">
        <v>53</v>
      </c>
      <c r="C16" s="14">
        <v>1</v>
      </c>
      <c r="D16" s="14">
        <v>1</v>
      </c>
      <c r="E16" s="14">
        <v>1</v>
      </c>
      <c r="F16" s="16">
        <f>IF(C16&gt;0,E16/C16,"")</f>
        <v>1</v>
      </c>
    </row>
    <row r="17" spans="1:6">
      <c r="A17" s="12" t="s">
        <v>52</v>
      </c>
      <c r="B17" s="12" t="s">
        <v>54</v>
      </c>
      <c r="C17" s="14">
        <v>2</v>
      </c>
      <c r="D17" s="14">
        <v>2</v>
      </c>
      <c r="E17" s="14">
        <v>2</v>
      </c>
      <c r="F17" s="16">
        <f>IF(C17&gt;0,E17/C17,"")</f>
        <v>1</v>
      </c>
    </row>
    <row r="18" spans="1:6">
      <c r="A18" s="12" t="s">
        <v>52</v>
      </c>
      <c r="B18" s="12" t="s">
        <v>55</v>
      </c>
      <c r="C18" s="14">
        <v>1</v>
      </c>
      <c r="D18" s="14">
        <v>1</v>
      </c>
      <c r="E18" s="14">
        <v>1</v>
      </c>
      <c r="F18" s="16">
        <f>IF(C18&gt;0,E18/C18,"")</f>
        <v>1</v>
      </c>
    </row>
    <row r="19" spans="1:6">
      <c r="A19" s="12" t="s">
        <v>52</v>
      </c>
      <c r="B19" s="12" t="s">
        <v>56</v>
      </c>
      <c r="C19" s="14">
        <v>1</v>
      </c>
      <c r="D19" s="14">
        <v>1</v>
      </c>
      <c r="E19" s="14">
        <v>1</v>
      </c>
      <c r="F19" s="16"/>
    </row>
    <row r="20" spans="1:6">
      <c r="A20" s="12" t="s">
        <v>52</v>
      </c>
      <c r="B20" s="12" t="s">
        <v>57</v>
      </c>
      <c r="C20" s="14">
        <v>2</v>
      </c>
      <c r="D20" s="14">
        <v>2</v>
      </c>
      <c r="E20" s="14">
        <v>2</v>
      </c>
      <c r="F20" s="16">
        <f>IF(C20&gt;0,E20/C20,"")</f>
        <v>1</v>
      </c>
    </row>
    <row r="21" spans="1:6">
      <c r="A21" s="12" t="s">
        <v>52</v>
      </c>
      <c r="B21" s="12" t="s">
        <v>58</v>
      </c>
      <c r="C21" s="14">
        <v>4</v>
      </c>
      <c r="D21" s="14">
        <v>4</v>
      </c>
      <c r="E21" s="14">
        <v>4</v>
      </c>
      <c r="F21" s="16">
        <f>IF(C21&gt;0,E21/C21,"")</f>
        <v>1</v>
      </c>
    </row>
    <row r="22" spans="1:6">
      <c r="A22" s="12" t="s">
        <v>52</v>
      </c>
      <c r="B22" s="12" t="s">
        <v>59</v>
      </c>
      <c r="C22" s="14">
        <v>1</v>
      </c>
      <c r="D22" s="14">
        <v>1</v>
      </c>
      <c r="E22" s="14">
        <v>1</v>
      </c>
      <c r="F22" s="16"/>
    </row>
    <row r="23" spans="1:6">
      <c r="A23" s="12" t="s">
        <v>52</v>
      </c>
      <c r="B23" s="12" t="s">
        <v>60</v>
      </c>
      <c r="C23" s="14">
        <v>1</v>
      </c>
      <c r="D23" s="14">
        <v>1</v>
      </c>
      <c r="E23" s="14">
        <v>1</v>
      </c>
      <c r="F23" s="16"/>
    </row>
    <row r="24" spans="1:6">
      <c r="A24" s="12" t="s">
        <v>52</v>
      </c>
      <c r="B24" s="12" t="s">
        <v>61</v>
      </c>
      <c r="C24" s="14">
        <v>3</v>
      </c>
      <c r="D24" s="14">
        <v>3</v>
      </c>
      <c r="E24" s="14">
        <v>3</v>
      </c>
      <c r="F24" s="16"/>
    </row>
    <row r="25" spans="1:6">
      <c r="A25" s="12" t="s">
        <v>52</v>
      </c>
      <c r="B25" s="12" t="s">
        <v>62</v>
      </c>
      <c r="C25" s="14">
        <v>1</v>
      </c>
      <c r="D25" s="14">
        <v>1</v>
      </c>
      <c r="E25" s="14">
        <v>1</v>
      </c>
      <c r="F25" s="16">
        <f>IF(C25&gt;0,E25/C25,"")</f>
        <v>1</v>
      </c>
    </row>
    <row r="26" spans="1:6">
      <c r="A26" s="12" t="s">
        <v>52</v>
      </c>
      <c r="B26" s="12" t="s">
        <v>63</v>
      </c>
      <c r="C26" s="14">
        <v>1</v>
      </c>
      <c r="D26" s="14">
        <v>1</v>
      </c>
      <c r="E26" s="14">
        <v>1</v>
      </c>
      <c r="F26" s="16"/>
    </row>
    <row r="27" spans="1:6">
      <c r="A27" s="12" t="s">
        <v>52</v>
      </c>
      <c r="B27" s="12" t="s">
        <v>64</v>
      </c>
      <c r="C27" s="14">
        <v>2</v>
      </c>
      <c r="D27" s="14">
        <v>2</v>
      </c>
      <c r="E27" s="14">
        <v>2</v>
      </c>
      <c r="F27" s="16">
        <f>IF(C27&gt;0,E27/C27,"")</f>
        <v>1</v>
      </c>
    </row>
    <row r="28" spans="1:6">
      <c r="A28" s="12" t="s">
        <v>52</v>
      </c>
      <c r="B28" s="12" t="s">
        <v>65</v>
      </c>
      <c r="C28" s="14">
        <v>3</v>
      </c>
      <c r="D28" s="14">
        <v>3</v>
      </c>
      <c r="E28" s="14">
        <v>3</v>
      </c>
      <c r="F28" s="16">
        <f t="shared" ref="F28:F46" si="0">IF(C28&gt;0,E28/C28,"")</f>
        <v>1</v>
      </c>
    </row>
    <row r="29" spans="1:6">
      <c r="A29" s="12" t="s">
        <v>52</v>
      </c>
      <c r="B29" s="12" t="s">
        <v>66</v>
      </c>
      <c r="C29" s="14">
        <v>1</v>
      </c>
      <c r="D29" s="14">
        <v>1</v>
      </c>
      <c r="E29" s="14">
        <v>1</v>
      </c>
      <c r="F29" s="16">
        <f t="shared" si="0"/>
        <v>1</v>
      </c>
    </row>
    <row r="30" spans="1:6">
      <c r="A30" s="12"/>
      <c r="B30" s="12"/>
      <c r="C30" s="14"/>
      <c r="D30" s="14"/>
      <c r="E30" s="14"/>
      <c r="F30" s="16" t="str">
        <f t="shared" si="0"/>
        <v/>
      </c>
    </row>
    <row r="31" spans="1:6">
      <c r="A31" s="12"/>
      <c r="B31" s="12"/>
      <c r="C31" s="14"/>
      <c r="D31" s="14"/>
      <c r="E31" s="14"/>
      <c r="F31" s="16" t="str">
        <f t="shared" si="0"/>
        <v/>
      </c>
    </row>
    <row r="32" spans="1:6">
      <c r="A32" s="12"/>
      <c r="B32" s="12"/>
      <c r="C32" s="14"/>
      <c r="D32" s="14"/>
      <c r="E32" s="14"/>
      <c r="F32" s="16" t="str">
        <f t="shared" si="0"/>
        <v/>
      </c>
    </row>
    <row r="33" spans="1:6">
      <c r="A33" s="12"/>
      <c r="B33" s="12"/>
      <c r="C33" s="14"/>
      <c r="D33" s="14"/>
      <c r="E33" s="14"/>
      <c r="F33" s="16" t="str">
        <f t="shared" si="0"/>
        <v/>
      </c>
    </row>
    <row r="34" spans="1:6">
      <c r="A34" s="12"/>
      <c r="B34" s="12"/>
      <c r="C34" s="14"/>
      <c r="D34" s="14"/>
      <c r="E34" s="14"/>
      <c r="F34" s="16" t="str">
        <f t="shared" si="0"/>
        <v/>
      </c>
    </row>
    <row r="35" spans="1:6">
      <c r="A35" s="12"/>
      <c r="B35" s="12"/>
      <c r="C35" s="14"/>
      <c r="D35" s="14"/>
      <c r="E35" s="14"/>
      <c r="F35" s="16" t="str">
        <f t="shared" si="0"/>
        <v/>
      </c>
    </row>
    <row r="36" spans="1:6">
      <c r="A36" s="12"/>
      <c r="B36" s="12"/>
      <c r="C36" s="14"/>
      <c r="D36" s="14"/>
      <c r="E36" s="14"/>
      <c r="F36" s="16" t="str">
        <f t="shared" si="0"/>
        <v/>
      </c>
    </row>
    <row r="37" spans="1:6">
      <c r="A37" s="12"/>
      <c r="B37" s="12"/>
      <c r="C37" s="14"/>
      <c r="D37" s="14"/>
      <c r="E37" s="14"/>
      <c r="F37" s="16" t="str">
        <f t="shared" si="0"/>
        <v/>
      </c>
    </row>
    <row r="38" spans="1:6">
      <c r="A38" s="12"/>
      <c r="B38" s="12"/>
      <c r="C38" s="14"/>
      <c r="D38" s="14"/>
      <c r="E38" s="14"/>
      <c r="F38" s="16" t="str">
        <f t="shared" si="0"/>
        <v/>
      </c>
    </row>
    <row r="39" spans="1:6">
      <c r="A39" s="12"/>
      <c r="B39" s="12"/>
      <c r="C39" s="14"/>
      <c r="D39" s="14"/>
      <c r="E39" s="14"/>
      <c r="F39" s="16" t="str">
        <f t="shared" si="0"/>
        <v/>
      </c>
    </row>
    <row r="40" spans="1:6">
      <c r="A40" s="12"/>
      <c r="B40" s="12"/>
      <c r="C40" s="14"/>
      <c r="D40" s="14"/>
      <c r="E40" s="14"/>
      <c r="F40" s="16" t="str">
        <f t="shared" si="0"/>
        <v/>
      </c>
    </row>
    <row r="41" spans="1:6">
      <c r="A41" s="12"/>
      <c r="B41" s="12"/>
      <c r="C41" s="14"/>
      <c r="D41" s="14"/>
      <c r="E41" s="14"/>
      <c r="F41" s="16" t="str">
        <f t="shared" si="0"/>
        <v/>
      </c>
    </row>
    <row r="42" spans="1:6">
      <c r="A42" s="12"/>
      <c r="B42" s="12"/>
      <c r="C42" s="14"/>
      <c r="D42" s="14"/>
      <c r="E42" s="14"/>
      <c r="F42" s="16" t="str">
        <f t="shared" si="0"/>
        <v/>
      </c>
    </row>
    <row r="43" spans="1:6">
      <c r="A43" s="12"/>
      <c r="B43" s="12"/>
      <c r="C43" s="14"/>
      <c r="D43" s="14"/>
      <c r="E43" s="14"/>
      <c r="F43" s="16" t="str">
        <f t="shared" si="0"/>
        <v/>
      </c>
    </row>
    <row r="44" spans="1:6">
      <c r="A44" s="12"/>
      <c r="B44" s="12"/>
      <c r="C44" s="14"/>
      <c r="D44" s="14"/>
      <c r="E44" s="14"/>
      <c r="F44" s="16" t="str">
        <f t="shared" si="0"/>
        <v/>
      </c>
    </row>
    <row r="45" spans="1:6">
      <c r="A45" s="12"/>
      <c r="B45" s="12"/>
      <c r="C45" s="14"/>
      <c r="D45" s="14"/>
      <c r="E45" s="14"/>
      <c r="F45" s="16" t="str">
        <f t="shared" si="0"/>
        <v/>
      </c>
    </row>
    <row r="46" spans="1:6">
      <c r="A46" s="12"/>
      <c r="B46" s="12"/>
      <c r="C46" s="14"/>
      <c r="D46" s="14"/>
      <c r="E46" s="14"/>
      <c r="F46" s="16" t="str">
        <f t="shared" si="0"/>
        <v/>
      </c>
    </row>
  </sheetData>
  <dataValidations count="2">
    <dataValidation type="list" allowBlank="1" error="Pick a value from the list" sqref="A19 A22 A23 A24 A25 A26 A27 A4:A18 A20:A21 A28:A46">
      <formula1>"P1~3,P4~5,P6,P7,P8,P9-Non Priority"</formula1>
    </dataValidation>
    <dataValidation type="decimal" operator="between" allowBlank="1" showErrorMessage="1" error="Numbers only" sqref="C19 D19 E19 C22 D22 E22 C23 D23 E23 C24 D24 E24 C25 D25 E25 C26 D26 E26 C27 D27 E27 C4:C18 C20:C21 C28:C46 D4:D18 D20:D21 D28:D46 E4:E18 E20:E21 E28:E46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C15" sqref="C15"/>
    </sheetView>
  </sheetViews>
  <sheetFormatPr defaultColWidth="8.68181818181818" defaultRowHeight="14.5" outlineLevelCol="3"/>
  <cols>
    <col min="1" max="1" width="16" customWidth="1"/>
    <col min="2" max="4" width="10" customWidth="1"/>
  </cols>
  <sheetData>
    <row r="1" ht="18" spans="1:4">
      <c r="A1" s="1" t="s">
        <v>67</v>
      </c>
    </row>
    <row r="2" spans="1:4">
      <c r="A2" s="2" t="s">
        <v>68</v>
      </c>
    </row>
    <row r="3" ht="30" customHeight="1" spans="1:4">
      <c r="A3" s="3" t="s">
        <v>69</v>
      </c>
      <c r="B3" s="3" t="s">
        <v>70</v>
      </c>
      <c r="C3" s="3" t="s">
        <v>71</v>
      </c>
      <c r="D3" s="3" t="s">
        <v>72</v>
      </c>
    </row>
    <row r="4" spans="1:4">
      <c r="A4" s="12" t="s">
        <v>45</v>
      </c>
      <c r="B4" s="14">
        <v>4</v>
      </c>
      <c r="C4" s="14"/>
      <c r="D4" s="21">
        <f t="shared" ref="D4:D28" si="0">IF(A4="","",B4+C4)</f>
        <v>4</v>
      </c>
    </row>
    <row r="5" spans="1:4">
      <c r="A5" s="12" t="s">
        <v>46</v>
      </c>
      <c r="B5" s="14">
        <v>8</v>
      </c>
      <c r="C5" s="14"/>
      <c r="D5" s="21">
        <f t="shared" si="0"/>
        <v>8</v>
      </c>
    </row>
    <row r="6" spans="1:4">
      <c r="A6" s="12" t="s">
        <v>53</v>
      </c>
      <c r="B6" s="14">
        <v>1</v>
      </c>
      <c r="C6" s="14"/>
      <c r="D6" s="21">
        <f t="shared" si="0"/>
        <v>1</v>
      </c>
    </row>
    <row r="7" spans="1:4">
      <c r="A7" s="12" t="s">
        <v>50</v>
      </c>
      <c r="B7" s="14">
        <v>1</v>
      </c>
      <c r="C7" s="14"/>
      <c r="D7" s="21">
        <f t="shared" si="0"/>
        <v>1</v>
      </c>
    </row>
    <row r="8" spans="1:4">
      <c r="A8" s="12" t="s">
        <v>37</v>
      </c>
      <c r="B8" s="14">
        <v>3</v>
      </c>
      <c r="C8" s="14">
        <v>2</v>
      </c>
      <c r="D8" s="21">
        <f t="shared" si="0"/>
        <v>5</v>
      </c>
    </row>
    <row r="9" spans="1:4">
      <c r="A9" s="12" t="s">
        <v>38</v>
      </c>
      <c r="B9" s="14">
        <v>2</v>
      </c>
      <c r="C9" s="14">
        <v>1</v>
      </c>
      <c r="D9" s="21">
        <f t="shared" si="0"/>
        <v>3</v>
      </c>
    </row>
    <row r="10" spans="1:4">
      <c r="A10" s="12" t="s">
        <v>48</v>
      </c>
      <c r="B10" s="14"/>
      <c r="C10" s="14">
        <v>1</v>
      </c>
      <c r="D10" s="21">
        <f t="shared" si="0"/>
        <v>1</v>
      </c>
    </row>
    <row r="11" spans="1:4">
      <c r="A11" s="12" t="s">
        <v>54</v>
      </c>
      <c r="B11" s="14">
        <v>2</v>
      </c>
      <c r="C11" s="14"/>
      <c r="D11" s="21">
        <f t="shared" si="0"/>
        <v>2</v>
      </c>
    </row>
    <row r="12" spans="1:4">
      <c r="A12" s="12" t="s">
        <v>42</v>
      </c>
      <c r="B12" s="14"/>
      <c r="C12" s="14">
        <v>1</v>
      </c>
      <c r="D12" s="21">
        <f t="shared" si="0"/>
        <v>1</v>
      </c>
    </row>
    <row r="13" spans="1:4">
      <c r="A13" s="12" t="s">
        <v>43</v>
      </c>
      <c r="B13" s="14">
        <v>4</v>
      </c>
      <c r="C13" s="14">
        <v>1</v>
      </c>
      <c r="D13" s="21">
        <f t="shared" si="0"/>
        <v>5</v>
      </c>
    </row>
    <row r="14" spans="1:4">
      <c r="A14" s="12" t="s">
        <v>58</v>
      </c>
      <c r="B14" s="14">
        <v>1</v>
      </c>
      <c r="C14" s="14"/>
      <c r="D14" s="21">
        <f t="shared" si="0"/>
        <v>1</v>
      </c>
    </row>
    <row r="15" spans="1:4">
      <c r="A15" s="12" t="s">
        <v>39</v>
      </c>
      <c r="B15" s="14">
        <v>1</v>
      </c>
      <c r="C15" s="14"/>
      <c r="D15" s="21">
        <f t="shared" si="0"/>
        <v>1</v>
      </c>
    </row>
    <row r="16" spans="1:4">
      <c r="A16" s="12" t="s">
        <v>61</v>
      </c>
      <c r="B16" s="14">
        <v>3</v>
      </c>
      <c r="C16" s="14"/>
      <c r="D16" s="21">
        <f t="shared" si="0"/>
        <v>3</v>
      </c>
    </row>
    <row r="17" spans="1:4">
      <c r="A17" s="12"/>
      <c r="B17" s="14"/>
      <c r="C17" s="14"/>
      <c r="D17" s="21" t="str">
        <f t="shared" si="0"/>
        <v/>
      </c>
    </row>
    <row r="18" spans="1:4">
      <c r="A18" s="12"/>
      <c r="B18" s="14"/>
      <c r="C18" s="14"/>
      <c r="D18" s="21" t="str">
        <f t="shared" si="0"/>
        <v/>
      </c>
    </row>
    <row r="19" spans="1:4">
      <c r="A19" s="12"/>
      <c r="B19" s="14"/>
      <c r="C19" s="14"/>
      <c r="D19" s="21" t="str">
        <f t="shared" si="0"/>
        <v/>
      </c>
    </row>
    <row r="20" spans="1:4">
      <c r="A20" s="12"/>
      <c r="B20" s="14"/>
      <c r="C20" s="14"/>
      <c r="D20" s="21" t="str">
        <f t="shared" si="0"/>
        <v/>
      </c>
    </row>
    <row r="21" spans="1:4">
      <c r="A21" s="12"/>
      <c r="B21" s="14"/>
      <c r="C21" s="14"/>
      <c r="D21" s="21" t="str">
        <f t="shared" si="0"/>
        <v/>
      </c>
    </row>
    <row r="22" spans="1:4">
      <c r="A22" s="12"/>
      <c r="B22" s="14"/>
      <c r="C22" s="14"/>
      <c r="D22" s="21" t="str">
        <f t="shared" si="0"/>
        <v/>
      </c>
    </row>
    <row r="23" spans="1:4">
      <c r="A23" s="12"/>
      <c r="B23" s="14"/>
      <c r="C23" s="14"/>
      <c r="D23" s="21" t="str">
        <f t="shared" si="0"/>
        <v/>
      </c>
    </row>
    <row r="24" spans="1:4">
      <c r="A24" s="12"/>
      <c r="B24" s="14"/>
      <c r="C24" s="14"/>
      <c r="D24" s="21" t="str">
        <f t="shared" si="0"/>
        <v/>
      </c>
    </row>
    <row r="25" spans="1:4">
      <c r="A25" s="12"/>
      <c r="B25" s="14"/>
      <c r="C25" s="14"/>
      <c r="D25" s="21" t="str">
        <f t="shared" si="0"/>
        <v/>
      </c>
    </row>
    <row r="26" spans="1:4">
      <c r="A26" s="12"/>
      <c r="B26" s="14"/>
      <c r="C26" s="14"/>
      <c r="D26" s="21" t="str">
        <f t="shared" si="0"/>
        <v/>
      </c>
    </row>
    <row r="27" spans="1:4">
      <c r="A27" s="12"/>
      <c r="B27" s="14"/>
      <c r="C27" s="14"/>
      <c r="D27" s="21" t="str">
        <f t="shared" si="0"/>
        <v/>
      </c>
    </row>
    <row r="28" spans="1:4">
      <c r="A28" s="12"/>
      <c r="B28" s="14"/>
      <c r="C28" s="14"/>
      <c r="D28" s="21" t="str">
        <f t="shared" si="0"/>
        <v/>
      </c>
    </row>
  </sheetData>
  <dataValidations count="1">
    <dataValidation type="decimal" operator="between" allowBlank="1" showErrorMessage="1" error="Numbers only" sqref="B4:B28 C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B4" sqref="B4:C13"/>
    </sheetView>
  </sheetViews>
  <sheetFormatPr defaultColWidth="8.68181818181818" defaultRowHeight="14.5" outlineLevelCol="3"/>
  <cols>
    <col min="1" max="1" width="12" customWidth="1"/>
    <col min="2" max="4" width="11" customWidth="1"/>
  </cols>
  <sheetData>
    <row r="1" ht="18" spans="1:4">
      <c r="A1" s="1" t="s">
        <v>73</v>
      </c>
    </row>
    <row r="2" spans="1:4">
      <c r="A2" s="2" t="s">
        <v>74</v>
      </c>
    </row>
    <row r="3" ht="30" customHeight="1" spans="1:4">
      <c r="A3" s="3" t="s">
        <v>75</v>
      </c>
      <c r="B3" s="3" t="s">
        <v>31</v>
      </c>
      <c r="C3" s="3" t="s">
        <v>33</v>
      </c>
      <c r="D3" s="3" t="s">
        <v>34</v>
      </c>
    </row>
    <row r="4" spans="1:4">
      <c r="A4" s="12" t="s">
        <v>76</v>
      </c>
      <c r="B4" s="14">
        <v>161</v>
      </c>
      <c r="C4" s="14">
        <v>161</v>
      </c>
      <c r="D4" s="16">
        <f t="shared" ref="D4:D28" si="0">IF(B4&gt;0,C4/B4,"")</f>
        <v>1</v>
      </c>
    </row>
    <row r="5" spans="1:4">
      <c r="A5" s="12" t="s">
        <v>77</v>
      </c>
      <c r="B5" s="14">
        <v>15</v>
      </c>
      <c r="C5" s="14">
        <v>15</v>
      </c>
      <c r="D5" s="16">
        <f t="shared" si="0"/>
        <v>1</v>
      </c>
    </row>
    <row r="6" spans="1:4">
      <c r="A6" s="12" t="s">
        <v>78</v>
      </c>
      <c r="B6" s="14">
        <v>6</v>
      </c>
      <c r="C6" s="14">
        <v>5</v>
      </c>
      <c r="D6" s="16">
        <f t="shared" si="0"/>
        <v>0.833333333333333</v>
      </c>
    </row>
    <row r="7" spans="1:4">
      <c r="A7" s="12" t="s">
        <v>79</v>
      </c>
      <c r="B7" s="14">
        <v>57</v>
      </c>
      <c r="C7" s="14">
        <v>57</v>
      </c>
      <c r="D7" s="16">
        <f t="shared" si="0"/>
        <v>1</v>
      </c>
    </row>
    <row r="8" spans="1:4">
      <c r="A8" s="12" t="s">
        <v>80</v>
      </c>
      <c r="B8" s="14">
        <v>11</v>
      </c>
      <c r="C8" s="14">
        <v>10</v>
      </c>
      <c r="D8" s="16">
        <f t="shared" si="0"/>
        <v>0.909090909090909</v>
      </c>
    </row>
    <row r="9" spans="1:4">
      <c r="A9" s="12" t="s">
        <v>81</v>
      </c>
      <c r="B9" s="14">
        <v>3</v>
      </c>
      <c r="C9" s="14">
        <v>3</v>
      </c>
      <c r="D9" s="16">
        <f t="shared" si="0"/>
        <v>1</v>
      </c>
    </row>
    <row r="10" spans="1:4">
      <c r="A10" s="12" t="s">
        <v>82</v>
      </c>
      <c r="B10" s="14">
        <v>12</v>
      </c>
      <c r="C10" s="14">
        <v>12</v>
      </c>
      <c r="D10" s="16">
        <f t="shared" si="0"/>
        <v>1</v>
      </c>
    </row>
    <row r="11" spans="1:4">
      <c r="A11" s="12" t="s">
        <v>83</v>
      </c>
      <c r="B11" s="14">
        <v>6</v>
      </c>
      <c r="C11" s="14">
        <v>6</v>
      </c>
      <c r="D11" s="16">
        <f t="shared" si="0"/>
        <v>1</v>
      </c>
    </row>
    <row r="12" spans="1:4">
      <c r="A12" s="12" t="s">
        <v>84</v>
      </c>
      <c r="B12" s="14">
        <v>3</v>
      </c>
      <c r="C12" s="14">
        <v>3</v>
      </c>
      <c r="D12" s="16">
        <f t="shared" si="0"/>
        <v>1</v>
      </c>
    </row>
    <row r="13" spans="1:4">
      <c r="A13" s="12"/>
      <c r="B13" s="14"/>
      <c r="C13" s="14"/>
      <c r="D13" s="16" t="str">
        <f t="shared" si="0"/>
        <v/>
      </c>
    </row>
    <row r="14" spans="1:4">
      <c r="A14" s="12"/>
      <c r="B14" s="14"/>
      <c r="C14" s="14"/>
      <c r="D14" s="16" t="str">
        <f t="shared" si="0"/>
        <v/>
      </c>
    </row>
    <row r="15" spans="1:4">
      <c r="A15" s="12"/>
      <c r="B15" s="14"/>
      <c r="C15" s="14"/>
      <c r="D15" s="16" t="str">
        <f t="shared" si="0"/>
        <v/>
      </c>
    </row>
    <row r="16" spans="1:4">
      <c r="A16" s="12"/>
      <c r="B16" s="14"/>
      <c r="C16" s="14"/>
      <c r="D16" s="16" t="str">
        <f t="shared" si="0"/>
        <v/>
      </c>
    </row>
    <row r="17" spans="1:4">
      <c r="A17" s="12"/>
      <c r="B17" s="14"/>
      <c r="C17" s="14"/>
      <c r="D17" s="16" t="str">
        <f t="shared" si="0"/>
        <v/>
      </c>
    </row>
    <row r="18" spans="1:4">
      <c r="A18" s="12"/>
      <c r="B18" s="14"/>
      <c r="C18" s="14"/>
      <c r="D18" s="16" t="str">
        <f t="shared" si="0"/>
        <v/>
      </c>
    </row>
    <row r="19" spans="1:4">
      <c r="A19" s="12"/>
      <c r="B19" s="14"/>
      <c r="C19" s="14"/>
      <c r="D19" s="16" t="str">
        <f t="shared" si="0"/>
        <v/>
      </c>
    </row>
    <row r="20" spans="1:4">
      <c r="A20" s="12"/>
      <c r="B20" s="14"/>
      <c r="C20" s="14"/>
      <c r="D20" s="16" t="str">
        <f t="shared" si="0"/>
        <v/>
      </c>
    </row>
    <row r="21" spans="1:4">
      <c r="A21" s="12"/>
      <c r="B21" s="14"/>
      <c r="C21" s="14"/>
      <c r="D21" s="16" t="str">
        <f t="shared" si="0"/>
        <v/>
      </c>
    </row>
    <row r="22" spans="1:4">
      <c r="A22" s="12"/>
      <c r="B22" s="14"/>
      <c r="C22" s="14"/>
      <c r="D22" s="16" t="str">
        <f t="shared" si="0"/>
        <v/>
      </c>
    </row>
    <row r="23" spans="1:4">
      <c r="A23" s="12"/>
      <c r="B23" s="14"/>
      <c r="C23" s="14"/>
      <c r="D23" s="16" t="str">
        <f t="shared" si="0"/>
        <v/>
      </c>
    </row>
    <row r="24" spans="1:4">
      <c r="A24" s="12"/>
      <c r="B24" s="14"/>
      <c r="C24" s="14"/>
      <c r="D24" s="16" t="str">
        <f t="shared" si="0"/>
        <v/>
      </c>
    </row>
    <row r="25" spans="1:4">
      <c r="A25" s="12"/>
      <c r="B25" s="14"/>
      <c r="C25" s="14"/>
      <c r="D25" s="16" t="str">
        <f t="shared" si="0"/>
        <v/>
      </c>
    </row>
    <row r="26" spans="1:4">
      <c r="A26" s="12"/>
      <c r="B26" s="14"/>
      <c r="C26" s="14"/>
      <c r="D26" s="16" t="str">
        <f t="shared" si="0"/>
        <v/>
      </c>
    </row>
    <row r="27" spans="1:4">
      <c r="A27" s="12"/>
      <c r="B27" s="14"/>
      <c r="C27" s="14"/>
      <c r="D27" s="16" t="str">
        <f t="shared" si="0"/>
        <v/>
      </c>
    </row>
    <row r="28" spans="1:4">
      <c r="A28" s="12"/>
      <c r="B28" s="14"/>
      <c r="C28" s="14"/>
      <c r="D28" s="16" t="str">
        <f t="shared" si="0"/>
        <v/>
      </c>
    </row>
  </sheetData>
  <dataValidations count="1">
    <dataValidation type="decimal" operator="between" allowBlank="1" showErrorMessage="1" error="Numbers only" sqref="B4:B28 C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E13" sqref="E13"/>
    </sheetView>
  </sheetViews>
  <sheetFormatPr defaultColWidth="8.68181818181818" defaultRowHeight="14.5" outlineLevelRow="7" outlineLevelCol="1"/>
  <cols>
    <col min="1" max="1" width="30" customWidth="1"/>
    <col min="2" max="2" width="10" customWidth="1"/>
  </cols>
  <sheetData>
    <row r="1" ht="18" spans="1:2">
      <c r="A1" s="1" t="s">
        <v>85</v>
      </c>
    </row>
    <row r="2" spans="1:2">
      <c r="A2" s="2" t="s">
        <v>86</v>
      </c>
    </row>
    <row r="3" ht="30" customHeight="1" spans="1:2">
      <c r="A3" s="3" t="s">
        <v>16</v>
      </c>
      <c r="B3" s="3" t="s">
        <v>87</v>
      </c>
    </row>
    <row r="4" spans="1:2">
      <c r="A4" s="12" t="s">
        <v>88</v>
      </c>
      <c r="B4" s="14">
        <v>2</v>
      </c>
    </row>
    <row r="5" spans="1:2">
      <c r="A5" s="12" t="s">
        <v>89</v>
      </c>
      <c r="B5" s="14">
        <v>6</v>
      </c>
    </row>
    <row r="6" spans="1:2">
      <c r="A6" s="12" t="s">
        <v>90</v>
      </c>
      <c r="B6" s="14">
        <v>-4</v>
      </c>
    </row>
    <row r="7" spans="1:2">
      <c r="A7" s="12" t="s">
        <v>91</v>
      </c>
      <c r="B7" s="14">
        <v>36</v>
      </c>
    </row>
    <row r="8" spans="1:2">
      <c r="A8" s="12" t="s">
        <v>92</v>
      </c>
      <c r="B8" s="14">
        <v>125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B4" sqref="B4:F11"/>
    </sheetView>
  </sheetViews>
  <sheetFormatPr defaultColWidth="8.68181818181818" defaultRowHeight="14.5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8" spans="1:6">
      <c r="A1" s="1" t="s">
        <v>93</v>
      </c>
    </row>
    <row r="2" spans="1:6">
      <c r="A2" s="2" t="s">
        <v>94</v>
      </c>
    </row>
    <row r="3" ht="30" customHeight="1" spans="1:6">
      <c r="A3" s="3" t="s">
        <v>95</v>
      </c>
      <c r="B3" s="3" t="s">
        <v>30</v>
      </c>
      <c r="C3" s="3" t="s">
        <v>96</v>
      </c>
      <c r="D3" s="3" t="s">
        <v>97</v>
      </c>
      <c r="E3" s="3" t="s">
        <v>98</v>
      </c>
      <c r="F3" s="3" t="s">
        <v>99</v>
      </c>
    </row>
    <row r="4" spans="1:6">
      <c r="A4" s="12" t="s">
        <v>100</v>
      </c>
      <c r="B4" s="14">
        <v>5</v>
      </c>
      <c r="C4" s="14">
        <v>5</v>
      </c>
      <c r="D4" s="14">
        <v>2</v>
      </c>
      <c r="E4" s="14">
        <v>4</v>
      </c>
      <c r="F4" s="14">
        <v>3</v>
      </c>
    </row>
    <row r="5" spans="1:6">
      <c r="A5" s="12" t="s">
        <v>101</v>
      </c>
      <c r="B5" s="14">
        <v>7</v>
      </c>
      <c r="C5" s="14">
        <v>7</v>
      </c>
      <c r="D5" s="14">
        <v>7</v>
      </c>
      <c r="E5" s="14">
        <v>8</v>
      </c>
      <c r="F5" s="14">
        <v>1</v>
      </c>
    </row>
    <row r="6" spans="1:6">
      <c r="A6" s="12" t="s">
        <v>102</v>
      </c>
      <c r="B6" s="14">
        <v>3</v>
      </c>
      <c r="C6" s="14">
        <v>3</v>
      </c>
      <c r="D6" s="14">
        <v>1</v>
      </c>
      <c r="E6" s="14">
        <v>4</v>
      </c>
      <c r="F6" s="14">
        <v>3</v>
      </c>
    </row>
    <row r="7" spans="1:6">
      <c r="A7" s="12" t="s">
        <v>103</v>
      </c>
      <c r="B7" s="14">
        <v>1</v>
      </c>
      <c r="C7" s="14">
        <v>1</v>
      </c>
      <c r="D7" s="14">
        <v>0</v>
      </c>
      <c r="E7" s="14">
        <v>0</v>
      </c>
      <c r="F7" s="14">
        <v>0</v>
      </c>
    </row>
    <row r="8" spans="1:6">
      <c r="A8" s="12" t="s">
        <v>77</v>
      </c>
      <c r="B8" s="14">
        <v>2</v>
      </c>
      <c r="C8" s="14">
        <v>2</v>
      </c>
      <c r="D8" s="14">
        <v>0</v>
      </c>
      <c r="E8" s="14">
        <v>3</v>
      </c>
      <c r="F8" s="14">
        <v>0</v>
      </c>
    </row>
    <row r="9" spans="1:6">
      <c r="A9" s="12" t="s">
        <v>84</v>
      </c>
      <c r="B9" s="14">
        <v>1</v>
      </c>
      <c r="C9" s="14">
        <v>0</v>
      </c>
      <c r="D9" s="14">
        <v>2</v>
      </c>
      <c r="E9" s="14">
        <v>0</v>
      </c>
      <c r="F9" s="14">
        <v>1</v>
      </c>
    </row>
    <row r="10" spans="1:6">
      <c r="A10" s="12" t="s">
        <v>78</v>
      </c>
      <c r="B10" s="14">
        <v>1</v>
      </c>
      <c r="C10" s="14">
        <v>1</v>
      </c>
      <c r="D10" s="14">
        <v>0</v>
      </c>
      <c r="E10" s="14">
        <v>2</v>
      </c>
      <c r="F10" s="14">
        <v>0</v>
      </c>
    </row>
    <row r="11" spans="1:6">
      <c r="A11" s="12" t="s">
        <v>81</v>
      </c>
      <c r="B11" s="14">
        <v>1</v>
      </c>
      <c r="C11" s="14">
        <v>0</v>
      </c>
      <c r="D11" s="14">
        <v>0</v>
      </c>
      <c r="E11" s="14">
        <v>7</v>
      </c>
      <c r="F11" s="14">
        <v>0</v>
      </c>
    </row>
    <row r="12" spans="1:6">
      <c r="A12" s="12"/>
      <c r="B12" s="14"/>
      <c r="C12" s="14"/>
      <c r="D12" s="14"/>
      <c r="E12" s="14"/>
      <c r="F12" s="14"/>
    </row>
    <row r="13" spans="1:6">
      <c r="A13" s="12"/>
      <c r="B13" s="14"/>
      <c r="C13" s="14"/>
      <c r="D13" s="14"/>
      <c r="E13" s="14"/>
      <c r="F13" s="14"/>
    </row>
    <row r="14" spans="1:6">
      <c r="A14" s="12"/>
      <c r="B14" s="14"/>
      <c r="C14" s="14"/>
      <c r="D14" s="14"/>
      <c r="E14" s="14"/>
      <c r="F14" s="14"/>
    </row>
    <row r="15" spans="1:6">
      <c r="A15" s="12"/>
      <c r="B15" s="14"/>
      <c r="C15" s="14"/>
      <c r="D15" s="14"/>
      <c r="E15" s="14"/>
      <c r="F15" s="14"/>
    </row>
    <row r="16" spans="1:6">
      <c r="A16" s="12"/>
      <c r="B16" s="14"/>
      <c r="C16" s="14"/>
      <c r="D16" s="14"/>
      <c r="E16" s="14"/>
      <c r="F16" s="14"/>
    </row>
    <row r="17" spans="1:6">
      <c r="A17" s="12"/>
      <c r="B17" s="14"/>
      <c r="C17" s="14"/>
      <c r="D17" s="14"/>
      <c r="E17" s="14"/>
      <c r="F17" s="14"/>
    </row>
    <row r="18" spans="1:6">
      <c r="A18" s="12"/>
      <c r="B18" s="14"/>
      <c r="C18" s="14"/>
      <c r="D18" s="14"/>
      <c r="E18" s="14"/>
      <c r="F18" s="14"/>
    </row>
    <row r="19" spans="1:6">
      <c r="A19" s="12"/>
      <c r="B19" s="14"/>
      <c r="C19" s="14"/>
      <c r="D19" s="14"/>
      <c r="E19" s="14"/>
      <c r="F19" s="14"/>
    </row>
    <row r="20" spans="1:6">
      <c r="A20" s="12"/>
      <c r="B20" s="14"/>
      <c r="C20" s="14"/>
      <c r="D20" s="14"/>
      <c r="E20" s="14"/>
      <c r="F20" s="14"/>
    </row>
    <row r="21" spans="1:6">
      <c r="A21" s="12"/>
      <c r="B21" s="14"/>
      <c r="C21" s="14"/>
      <c r="D21" s="14"/>
      <c r="E21" s="14"/>
      <c r="F21" s="14"/>
    </row>
    <row r="22" spans="1:6">
      <c r="A22" s="12"/>
      <c r="B22" s="14"/>
      <c r="C22" s="14"/>
      <c r="D22" s="14"/>
      <c r="E22" s="14"/>
      <c r="F22" s="14"/>
    </row>
    <row r="23" spans="1:6">
      <c r="A23" s="12"/>
      <c r="B23" s="14"/>
      <c r="C23" s="14"/>
      <c r="D23" s="14"/>
      <c r="E23" s="14"/>
      <c r="F23" s="14"/>
    </row>
  </sheetData>
  <dataValidations count="1">
    <dataValidation type="decimal" operator="between" allowBlank="1" showErrorMessage="1" error="Numbers only" sqref="B4:B23 C4:C23 D4:D23 E4:E23 F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1"/>
  <sheetViews>
    <sheetView topLeftCell="B1" workbookViewId="0">
      <pane ySplit="3" topLeftCell="A4" activePane="bottomLeft" state="frozen"/>
      <selection/>
      <selection pane="bottomLeft" activeCell="B6" sqref="B6"/>
    </sheetView>
  </sheetViews>
  <sheetFormatPr defaultColWidth="8.68181818181818" defaultRowHeight="14.5"/>
  <cols>
    <col min="1" max="1" width="9" customWidth="1"/>
    <col min="2" max="2" width="12" customWidth="1"/>
    <col min="3" max="3" width="10" customWidth="1"/>
    <col min="4" max="5" width="11" customWidth="1"/>
    <col min="6" max="6" width="64.363636363636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8" spans="1:11">
      <c r="A1" s="1" t="s">
        <v>104</v>
      </c>
    </row>
    <row r="2" spans="1:11">
      <c r="A2" s="2" t="s">
        <v>105</v>
      </c>
    </row>
    <row r="3" ht="30" customHeight="1" spans="1:11">
      <c r="A3" s="3" t="s">
        <v>106</v>
      </c>
      <c r="B3" s="3" t="s">
        <v>107</v>
      </c>
      <c r="C3" s="3" t="s">
        <v>95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</row>
    <row r="4" s="18" customFormat="1" ht="21" customHeight="1" spans="1:11">
      <c r="A4" s="19" t="s">
        <v>116</v>
      </c>
      <c r="B4" s="20">
        <v>46317</v>
      </c>
      <c r="C4" s="19" t="s">
        <v>117</v>
      </c>
      <c r="D4" s="19" t="s">
        <v>118</v>
      </c>
      <c r="E4" s="19" t="s">
        <v>119</v>
      </c>
      <c r="F4" s="7" t="s">
        <v>120</v>
      </c>
      <c r="G4" s="6">
        <v>1</v>
      </c>
      <c r="H4" s="6">
        <v>1</v>
      </c>
      <c r="I4" s="6">
        <v>0</v>
      </c>
      <c r="J4" s="6">
        <v>0</v>
      </c>
      <c r="K4" s="6">
        <v>0</v>
      </c>
    </row>
    <row r="5" s="18" customFormat="1" ht="21" customHeight="1" spans="1:11">
      <c r="A5" s="19" t="s">
        <v>116</v>
      </c>
      <c r="B5" s="20">
        <v>46317</v>
      </c>
      <c r="C5" s="19" t="s">
        <v>117</v>
      </c>
      <c r="D5" s="19" t="s">
        <v>121</v>
      </c>
      <c r="E5" s="19" t="s">
        <v>122</v>
      </c>
      <c r="F5" s="7" t="s">
        <v>123</v>
      </c>
      <c r="G5" s="6">
        <v>1</v>
      </c>
      <c r="H5" s="6">
        <v>1</v>
      </c>
      <c r="I5" s="6">
        <v>0</v>
      </c>
      <c r="J5" s="6">
        <v>0</v>
      </c>
      <c r="K5" s="6">
        <v>0</v>
      </c>
    </row>
    <row r="6" s="18" customFormat="1" ht="21" customHeight="1" spans="1:11">
      <c r="A6" s="19" t="s">
        <v>32</v>
      </c>
      <c r="B6" s="20">
        <v>46317</v>
      </c>
      <c r="C6" s="19" t="s">
        <v>117</v>
      </c>
      <c r="D6" s="19" t="s">
        <v>124</v>
      </c>
      <c r="E6" s="19" t="s">
        <v>122</v>
      </c>
      <c r="F6" s="7" t="s">
        <v>125</v>
      </c>
      <c r="G6" s="6">
        <v>1</v>
      </c>
      <c r="H6" s="6">
        <v>1</v>
      </c>
      <c r="I6" s="6">
        <v>0</v>
      </c>
      <c r="J6" s="6">
        <v>0</v>
      </c>
      <c r="K6" s="6">
        <v>0</v>
      </c>
    </row>
    <row r="7" s="18" customFormat="1" ht="21" customHeight="1" spans="1:11">
      <c r="A7" s="19" t="s">
        <v>32</v>
      </c>
      <c r="B7" s="20">
        <v>46318</v>
      </c>
      <c r="C7" s="19" t="s">
        <v>117</v>
      </c>
      <c r="D7" s="19" t="s">
        <v>118</v>
      </c>
      <c r="E7" s="19" t="s">
        <v>122</v>
      </c>
      <c r="F7" s="7" t="s">
        <v>126</v>
      </c>
      <c r="G7" s="6">
        <v>1</v>
      </c>
      <c r="H7" s="6">
        <v>1</v>
      </c>
      <c r="I7" s="6">
        <v>0</v>
      </c>
      <c r="J7" s="6">
        <v>0</v>
      </c>
      <c r="K7" s="6">
        <v>0</v>
      </c>
    </row>
    <row r="8" s="18" customFormat="1" ht="21" customHeight="1" spans="1:11">
      <c r="A8" s="19" t="s">
        <v>32</v>
      </c>
      <c r="B8" s="20">
        <v>46318</v>
      </c>
      <c r="C8" s="19" t="s">
        <v>117</v>
      </c>
      <c r="D8" s="19" t="s">
        <v>127</v>
      </c>
      <c r="E8" s="19" t="s">
        <v>122</v>
      </c>
      <c r="F8" s="7" t="s">
        <v>128</v>
      </c>
      <c r="G8" s="6">
        <v>1</v>
      </c>
      <c r="H8" s="6">
        <v>1</v>
      </c>
      <c r="I8" s="6">
        <v>0</v>
      </c>
      <c r="J8" s="6">
        <v>0</v>
      </c>
      <c r="K8" s="6">
        <v>0</v>
      </c>
    </row>
    <row r="9" s="18" customFormat="1" ht="21" customHeight="1" spans="1:11">
      <c r="A9" s="19" t="s">
        <v>32</v>
      </c>
      <c r="B9" s="20">
        <v>46318</v>
      </c>
      <c r="C9" s="19" t="s">
        <v>129</v>
      </c>
      <c r="D9" s="19" t="s">
        <v>130</v>
      </c>
      <c r="E9" s="19" t="s">
        <v>122</v>
      </c>
      <c r="F9" s="7" t="s">
        <v>131</v>
      </c>
      <c r="G9" s="6">
        <v>1</v>
      </c>
      <c r="H9" s="6">
        <v>1</v>
      </c>
      <c r="I9" s="6">
        <v>0</v>
      </c>
      <c r="J9" s="6">
        <v>0</v>
      </c>
      <c r="K9" s="6">
        <v>0</v>
      </c>
    </row>
    <row r="10" s="18" customFormat="1" ht="21" customHeight="1" spans="1:11">
      <c r="A10" s="19" t="s">
        <v>32</v>
      </c>
      <c r="B10" s="20">
        <v>46318</v>
      </c>
      <c r="C10" s="19" t="s">
        <v>117</v>
      </c>
      <c r="D10" s="19" t="s">
        <v>132</v>
      </c>
      <c r="E10" s="19" t="s">
        <v>122</v>
      </c>
      <c r="F10" s="7" t="s">
        <v>133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</row>
    <row r="11" spans="1:11">
      <c r="A11" s="12"/>
      <c r="B11" s="15"/>
      <c r="C11" s="12"/>
      <c r="D11" s="12"/>
      <c r="E11" s="12"/>
      <c r="F11" s="11"/>
      <c r="G11" s="14"/>
      <c r="H11" s="14"/>
      <c r="I11" s="14"/>
      <c r="J11" s="14"/>
      <c r="K11" s="14"/>
    </row>
    <row r="12" spans="1:11">
      <c r="A12" s="12"/>
      <c r="B12" s="15"/>
      <c r="C12" s="12"/>
      <c r="D12" s="12"/>
      <c r="E12" s="12"/>
      <c r="F12" s="11"/>
      <c r="G12" s="14"/>
      <c r="H12" s="14"/>
      <c r="I12" s="14"/>
      <c r="J12" s="14"/>
      <c r="K12" s="14"/>
    </row>
    <row r="13" spans="1:11">
      <c r="A13" s="12"/>
      <c r="B13" s="15"/>
      <c r="C13" s="12"/>
      <c r="D13" s="12"/>
      <c r="E13" s="12"/>
      <c r="F13" s="11"/>
      <c r="G13" s="14"/>
      <c r="H13" s="14"/>
      <c r="I13" s="14"/>
      <c r="J13" s="14"/>
      <c r="K13" s="14"/>
    </row>
    <row r="14" spans="1:11">
      <c r="A14" s="12"/>
      <c r="B14" s="15"/>
      <c r="C14" s="12"/>
      <c r="D14" s="12"/>
      <c r="E14" s="12"/>
      <c r="F14" s="11"/>
      <c r="G14" s="14"/>
      <c r="H14" s="14"/>
      <c r="I14" s="14"/>
      <c r="J14" s="14"/>
      <c r="K14" s="14"/>
    </row>
    <row r="15" spans="1:11">
      <c r="A15" s="12"/>
      <c r="B15" s="15"/>
      <c r="C15" s="12"/>
      <c r="D15" s="12"/>
      <c r="E15" s="12"/>
      <c r="F15" s="11"/>
      <c r="G15" s="14"/>
      <c r="H15" s="14"/>
      <c r="I15" s="14"/>
      <c r="J15" s="14"/>
      <c r="K15" s="14"/>
    </row>
    <row r="16" spans="1:11">
      <c r="A16" s="12"/>
      <c r="B16" s="15"/>
      <c r="C16" s="12"/>
      <c r="D16" s="12"/>
      <c r="E16" s="12"/>
      <c r="F16" s="11"/>
      <c r="G16" s="14"/>
      <c r="H16" s="14"/>
      <c r="I16" s="14"/>
      <c r="J16" s="14"/>
      <c r="K16" s="14"/>
    </row>
    <row r="17" spans="1:11">
      <c r="A17" s="12"/>
      <c r="B17" s="15"/>
      <c r="C17" s="12"/>
      <c r="D17" s="12"/>
      <c r="E17" s="12"/>
      <c r="F17" s="11"/>
      <c r="G17" s="14"/>
      <c r="H17" s="14"/>
      <c r="I17" s="14"/>
      <c r="J17" s="14"/>
      <c r="K17" s="14"/>
    </row>
    <row r="18" spans="1:11">
      <c r="A18" s="12"/>
      <c r="B18" s="15"/>
      <c r="C18" s="12"/>
      <c r="D18" s="12"/>
      <c r="E18" s="12"/>
      <c r="F18" s="11"/>
      <c r="G18" s="14"/>
      <c r="H18" s="14"/>
      <c r="I18" s="14"/>
      <c r="J18" s="14"/>
      <c r="K18" s="14"/>
    </row>
    <row r="19" spans="1:11">
      <c r="A19" s="12"/>
      <c r="B19" s="15"/>
      <c r="C19" s="12"/>
      <c r="D19" s="12"/>
      <c r="E19" s="12"/>
      <c r="F19" s="11"/>
      <c r="G19" s="14"/>
      <c r="H19" s="14"/>
      <c r="I19" s="14"/>
      <c r="J19" s="14"/>
      <c r="K19" s="14"/>
    </row>
    <row r="20" spans="1:11">
      <c r="A20" s="12"/>
      <c r="B20" s="15"/>
      <c r="C20" s="12"/>
      <c r="D20" s="12"/>
      <c r="E20" s="12"/>
      <c r="F20" s="11"/>
      <c r="G20" s="14"/>
      <c r="H20" s="14"/>
      <c r="I20" s="14"/>
      <c r="J20" s="14"/>
      <c r="K20" s="14"/>
    </row>
    <row r="21" spans="1:11">
      <c r="A21" s="12"/>
      <c r="B21" s="15"/>
      <c r="C21" s="12"/>
      <c r="D21" s="12"/>
      <c r="E21" s="12"/>
      <c r="F21" s="11"/>
      <c r="G21" s="14"/>
      <c r="H21" s="14"/>
      <c r="I21" s="14"/>
      <c r="J21" s="14"/>
      <c r="K21" s="14"/>
    </row>
    <row r="22" spans="1:11">
      <c r="A22" s="12"/>
      <c r="B22" s="15"/>
      <c r="C22" s="12"/>
      <c r="D22" s="12"/>
      <c r="E22" s="12"/>
      <c r="F22" s="11"/>
      <c r="G22" s="14"/>
      <c r="H22" s="14"/>
      <c r="I22" s="14"/>
      <c r="J22" s="14"/>
      <c r="K22" s="14"/>
    </row>
    <row r="23" spans="1:11">
      <c r="A23" s="12"/>
      <c r="B23" s="15"/>
      <c r="C23" s="12"/>
      <c r="D23" s="12"/>
      <c r="E23" s="12"/>
      <c r="F23" s="11"/>
      <c r="G23" s="14"/>
      <c r="H23" s="14"/>
      <c r="I23" s="14"/>
      <c r="J23" s="14"/>
      <c r="K23" s="14"/>
    </row>
    <row r="24" spans="1:11">
      <c r="A24" s="12"/>
      <c r="B24" s="15"/>
      <c r="C24" s="12"/>
      <c r="D24" s="12"/>
      <c r="E24" s="12"/>
      <c r="F24" s="11"/>
      <c r="G24" s="14"/>
      <c r="H24" s="14"/>
      <c r="I24" s="14"/>
      <c r="J24" s="14"/>
      <c r="K24" s="14"/>
    </row>
    <row r="25" spans="1:11">
      <c r="A25" s="12"/>
      <c r="B25" s="15"/>
      <c r="C25" s="12"/>
      <c r="D25" s="12"/>
      <c r="E25" s="12"/>
      <c r="F25" s="11"/>
      <c r="G25" s="14"/>
      <c r="H25" s="14"/>
      <c r="I25" s="14"/>
      <c r="J25" s="14"/>
      <c r="K25" s="14"/>
    </row>
    <row r="26" spans="1:11">
      <c r="A26" s="12"/>
      <c r="B26" s="15"/>
      <c r="C26" s="12"/>
      <c r="D26" s="12"/>
      <c r="E26" s="12"/>
      <c r="F26" s="11"/>
      <c r="G26" s="14"/>
      <c r="H26" s="14"/>
      <c r="I26" s="14"/>
      <c r="J26" s="14"/>
      <c r="K26" s="14"/>
    </row>
    <row r="27" spans="1:11">
      <c r="A27" s="12"/>
      <c r="B27" s="15"/>
      <c r="C27" s="12"/>
      <c r="D27" s="12"/>
      <c r="E27" s="12"/>
      <c r="F27" s="11"/>
      <c r="G27" s="14"/>
      <c r="H27" s="14"/>
      <c r="I27" s="14"/>
      <c r="J27" s="14"/>
      <c r="K27" s="14"/>
    </row>
    <row r="28" spans="1:11">
      <c r="A28" s="12"/>
      <c r="B28" s="15"/>
      <c r="C28" s="12"/>
      <c r="D28" s="12"/>
      <c r="E28" s="12"/>
      <c r="F28" s="11"/>
      <c r="G28" s="14"/>
      <c r="H28" s="14"/>
      <c r="I28" s="14"/>
      <c r="J28" s="14"/>
      <c r="K28" s="14"/>
    </row>
    <row r="29" spans="1:11">
      <c r="A29" s="12"/>
      <c r="B29" s="15"/>
      <c r="C29" s="12"/>
      <c r="D29" s="12"/>
      <c r="E29" s="12"/>
      <c r="F29" s="11"/>
      <c r="G29" s="14"/>
      <c r="H29" s="14"/>
      <c r="I29" s="14"/>
      <c r="J29" s="14"/>
      <c r="K29" s="14"/>
    </row>
    <row r="30" spans="1:11">
      <c r="A30" s="12"/>
      <c r="B30" s="15"/>
      <c r="C30" s="12"/>
      <c r="D30" s="12"/>
      <c r="E30" s="12"/>
      <c r="F30" s="11"/>
      <c r="G30" s="14"/>
      <c r="H30" s="14"/>
      <c r="I30" s="14"/>
      <c r="J30" s="14"/>
      <c r="K30" s="14"/>
    </row>
    <row r="31" spans="1:11">
      <c r="A31" s="12"/>
      <c r="B31" s="15"/>
      <c r="C31" s="12"/>
      <c r="D31" s="12"/>
      <c r="E31" s="12"/>
      <c r="F31" s="11"/>
      <c r="G31" s="14"/>
      <c r="H31" s="14"/>
      <c r="I31" s="14"/>
      <c r="J31" s="14"/>
      <c r="K31" s="14"/>
    </row>
  </sheetData>
  <dataValidations count="4">
    <dataValidation type="list" allowBlank="1" showErrorMessage="1" error="Pick a value from the list" sqref="A10 A4:A9 A11:A31">
      <formula1>"Done,Plan"</formula1>
    </dataValidation>
    <dataValidation type="date" operator="greaterThan" allowBlank="1" showErrorMessage="1" error="Enter a date, e.g. 16-Oct-2026" sqref="B4:B31">
      <formula1>45000</formula1>
    </dataValidation>
    <dataValidation type="list" allowBlank="1" error="Pick a value from the list" sqref="E4:E31">
      <formula1>"Cable Cutting,Cable Cleaning"</formula1>
    </dataValidation>
    <dataValidation type="decimal" operator="between" allowBlank="1" showErrorMessage="1" error="Numbers only" sqref="G4:G31 H4:H31 I4:I31 J4:J31 K4:K31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7"/>
  <sheetViews>
    <sheetView workbookViewId="0">
      <pane ySplit="3" topLeftCell="A4" activePane="bottomLeft" state="frozen"/>
      <selection/>
      <selection pane="bottomLeft" activeCell="B11" sqref="B11"/>
    </sheetView>
  </sheetViews>
  <sheetFormatPr defaultColWidth="8.68181818181818" defaultRowHeight="14.5" outlineLevelCol="2"/>
  <cols>
    <col min="1" max="1" width="26" customWidth="1"/>
    <col min="2" max="3" width="9" customWidth="1"/>
  </cols>
  <sheetData>
    <row r="1" ht="18" spans="1:3">
      <c r="A1" s="1" t="s">
        <v>134</v>
      </c>
    </row>
    <row r="2" spans="1:3">
      <c r="A2" s="2" t="s">
        <v>135</v>
      </c>
    </row>
    <row r="3" ht="30" customHeight="1" spans="1:3">
      <c r="A3" s="3" t="s">
        <v>136</v>
      </c>
      <c r="B3" s="3" t="s">
        <v>137</v>
      </c>
      <c r="C3" s="3" t="s">
        <v>138</v>
      </c>
    </row>
    <row r="4" spans="1:3">
      <c r="A4" s="12" t="s">
        <v>139</v>
      </c>
      <c r="B4" s="12" t="s">
        <v>140</v>
      </c>
      <c r="C4" s="14">
        <v>1</v>
      </c>
    </row>
    <row r="5" spans="1:3">
      <c r="A5" s="12" t="s">
        <v>141</v>
      </c>
      <c r="B5" s="12" t="s">
        <v>142</v>
      </c>
      <c r="C5" s="14">
        <v>2</v>
      </c>
    </row>
    <row r="6" spans="1:3">
      <c r="A6" s="12" t="s">
        <v>143</v>
      </c>
      <c r="B6" s="12" t="s">
        <v>142</v>
      </c>
      <c r="C6" s="14">
        <v>2</v>
      </c>
    </row>
    <row r="7" spans="1:3">
      <c r="A7" s="12" t="s">
        <v>144</v>
      </c>
      <c r="B7" s="12" t="s">
        <v>142</v>
      </c>
      <c r="C7" s="14">
        <v>3</v>
      </c>
    </row>
    <row r="8" spans="1:3">
      <c r="A8" s="12"/>
      <c r="B8" s="12"/>
      <c r="C8" s="14"/>
    </row>
    <row r="9" spans="1:3">
      <c r="A9" s="12"/>
      <c r="B9" s="12"/>
      <c r="C9" s="14"/>
    </row>
    <row r="10" spans="1:3">
      <c r="A10" s="12"/>
      <c r="B10" s="12"/>
      <c r="C10" s="14"/>
    </row>
    <row r="11" spans="1:3">
      <c r="A11" s="12"/>
      <c r="B11" s="12"/>
      <c r="C11" s="14"/>
    </row>
    <row r="12" spans="1:3">
      <c r="A12" s="12"/>
      <c r="B12" s="12"/>
      <c r="C12" s="14"/>
    </row>
    <row r="13" spans="1:3">
      <c r="A13" s="12"/>
      <c r="B13" s="12"/>
      <c r="C13" s="14"/>
    </row>
    <row r="14" spans="1:3">
      <c r="A14" s="12"/>
      <c r="B14" s="12"/>
      <c r="C14" s="14"/>
    </row>
    <row r="15" spans="1:3">
      <c r="A15" s="12"/>
      <c r="B15" s="12"/>
      <c r="C15" s="14"/>
    </row>
    <row r="16" spans="1:3">
      <c r="A16" s="12"/>
      <c r="B16" s="12"/>
      <c r="C16" s="14"/>
    </row>
    <row r="17" spans="1:3">
      <c r="A17" s="12"/>
      <c r="B17" s="12"/>
      <c r="C17" s="14"/>
    </row>
  </sheetData>
  <dataValidations count="1">
    <dataValidation type="decimal" operator="between" allowBlank="1" showErrorMessage="1" error="Numbers only" sqref="C4 C5 C6:C17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I15" sqref="I15"/>
    </sheetView>
  </sheetViews>
  <sheetFormatPr defaultColWidth="8.68181818181818" defaultRowHeight="14.5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8" spans="1:13">
      <c r="A1" s="1" t="s">
        <v>145</v>
      </c>
    </row>
    <row r="2" spans="1:13">
      <c r="A2" s="2" t="s">
        <v>146</v>
      </c>
    </row>
    <row r="3" ht="30" customHeight="1" spans="1:13">
      <c r="A3" s="3" t="s">
        <v>95</v>
      </c>
      <c r="B3" s="3" t="s">
        <v>108</v>
      </c>
      <c r="C3" s="3" t="s">
        <v>147</v>
      </c>
      <c r="D3" s="3" t="s">
        <v>148</v>
      </c>
      <c r="E3" s="3" t="s">
        <v>149</v>
      </c>
      <c r="F3" s="3" t="s">
        <v>150</v>
      </c>
      <c r="G3" s="3" t="s">
        <v>151</v>
      </c>
      <c r="H3" s="3" t="s">
        <v>96</v>
      </c>
      <c r="I3" s="3" t="s">
        <v>112</v>
      </c>
      <c r="J3" s="3" t="s">
        <v>152</v>
      </c>
      <c r="K3" s="3" t="s">
        <v>153</v>
      </c>
      <c r="L3" s="3" t="s">
        <v>154</v>
      </c>
      <c r="M3" s="3" t="s">
        <v>155</v>
      </c>
    </row>
    <row r="4" spans="1:13">
      <c r="A4" s="12" t="s">
        <v>156</v>
      </c>
      <c r="B4" s="12" t="s">
        <v>157</v>
      </c>
      <c r="C4" s="14">
        <v>31</v>
      </c>
      <c r="D4" s="14">
        <v>28</v>
      </c>
      <c r="E4" s="14">
        <v>38</v>
      </c>
      <c r="F4" s="14">
        <v>13</v>
      </c>
      <c r="G4" s="14">
        <v>12</v>
      </c>
      <c r="H4" s="14">
        <v>7</v>
      </c>
      <c r="I4" s="14">
        <v>10</v>
      </c>
      <c r="J4" s="16">
        <f t="shared" ref="J4:J43" si="0">IF(C4&gt;0,D4/C4,"")</f>
        <v>0.903225806451613</v>
      </c>
      <c r="K4" s="16">
        <f t="shared" ref="K4:K43" si="1">IF(E4&gt;0,F4/E4,"")</f>
        <v>0.342105263157895</v>
      </c>
      <c r="L4" s="17">
        <f t="shared" ref="L4:L43" si="2">IF(H4&gt;0,ROUND(G4/H4,1),"")</f>
        <v>1.7</v>
      </c>
      <c r="M4" s="17">
        <f t="shared" ref="M4:M43" si="3">IF(G4&gt;0,ROUND(I4/G4,1),"")</f>
        <v>0.8</v>
      </c>
    </row>
    <row r="5" spans="1:13">
      <c r="A5" s="12" t="s">
        <v>156</v>
      </c>
      <c r="B5" s="12" t="s">
        <v>158</v>
      </c>
      <c r="C5" s="14">
        <v>6</v>
      </c>
      <c r="D5" s="14">
        <v>6</v>
      </c>
      <c r="E5" s="14">
        <v>53</v>
      </c>
      <c r="F5" s="14">
        <v>16</v>
      </c>
      <c r="G5" s="14">
        <v>9</v>
      </c>
      <c r="H5" s="14">
        <v>7</v>
      </c>
      <c r="I5" s="14">
        <v>11</v>
      </c>
      <c r="J5" s="16">
        <f t="shared" si="0"/>
        <v>1</v>
      </c>
      <c r="K5" s="16">
        <f t="shared" si="1"/>
        <v>0.30188679245283</v>
      </c>
      <c r="L5" s="17">
        <f t="shared" si="2"/>
        <v>1.3</v>
      </c>
      <c r="M5" s="17">
        <f t="shared" si="3"/>
        <v>1.2</v>
      </c>
    </row>
    <row r="6" spans="1:13">
      <c r="A6" s="12" t="s">
        <v>156</v>
      </c>
      <c r="B6" s="12" t="s">
        <v>159</v>
      </c>
      <c r="C6" s="14">
        <v>15</v>
      </c>
      <c r="D6" s="14">
        <v>15</v>
      </c>
      <c r="E6" s="14">
        <v>24</v>
      </c>
      <c r="F6" s="14">
        <v>4</v>
      </c>
      <c r="G6" s="14">
        <v>4</v>
      </c>
      <c r="H6" s="14">
        <v>2</v>
      </c>
      <c r="I6" s="14">
        <v>5</v>
      </c>
      <c r="J6" s="16">
        <f t="shared" si="0"/>
        <v>1</v>
      </c>
      <c r="K6" s="16">
        <f t="shared" si="1"/>
        <v>0.166666666666667</v>
      </c>
      <c r="L6" s="17">
        <f t="shared" si="2"/>
        <v>2</v>
      </c>
      <c r="M6" s="17">
        <f t="shared" si="3"/>
        <v>1.3</v>
      </c>
    </row>
    <row r="7" spans="1:13">
      <c r="A7" s="12" t="s">
        <v>160</v>
      </c>
      <c r="B7" s="12" t="s">
        <v>161</v>
      </c>
      <c r="C7" s="14">
        <v>8</v>
      </c>
      <c r="D7" s="14">
        <v>3</v>
      </c>
      <c r="E7" s="14">
        <v>25</v>
      </c>
      <c r="F7" s="14">
        <v>5</v>
      </c>
      <c r="G7" s="14">
        <v>4</v>
      </c>
      <c r="H7" s="14">
        <v>4</v>
      </c>
      <c r="I7" s="14">
        <v>3</v>
      </c>
      <c r="J7" s="16">
        <f t="shared" si="0"/>
        <v>0.375</v>
      </c>
      <c r="K7" s="16">
        <f t="shared" si="1"/>
        <v>0.2</v>
      </c>
      <c r="L7" s="17">
        <f t="shared" si="2"/>
        <v>1</v>
      </c>
      <c r="M7" s="17">
        <f t="shared" si="3"/>
        <v>0.8</v>
      </c>
    </row>
    <row r="8" spans="1:13">
      <c r="A8" s="12" t="s">
        <v>160</v>
      </c>
      <c r="B8" s="12" t="s">
        <v>162</v>
      </c>
      <c r="C8" s="14">
        <v>6</v>
      </c>
      <c r="D8" s="14">
        <v>4</v>
      </c>
      <c r="E8" s="14">
        <v>23</v>
      </c>
      <c r="F8" s="14">
        <v>4</v>
      </c>
      <c r="G8" s="14">
        <v>3</v>
      </c>
      <c r="H8" s="14">
        <v>2</v>
      </c>
      <c r="I8" s="14">
        <v>5</v>
      </c>
      <c r="J8" s="16">
        <f t="shared" si="0"/>
        <v>0.666666666666667</v>
      </c>
      <c r="K8" s="16">
        <f t="shared" si="1"/>
        <v>0.173913043478261</v>
      </c>
      <c r="L8" s="17">
        <f t="shared" si="2"/>
        <v>1.5</v>
      </c>
      <c r="M8" s="17">
        <f t="shared" si="3"/>
        <v>1.7</v>
      </c>
    </row>
    <row r="9" spans="1:13">
      <c r="A9" s="12" t="s">
        <v>160</v>
      </c>
      <c r="B9" s="12" t="s">
        <v>163</v>
      </c>
      <c r="C9" s="14">
        <v>10</v>
      </c>
      <c r="D9" s="14">
        <v>10</v>
      </c>
      <c r="E9" s="14">
        <v>11</v>
      </c>
      <c r="F9" s="14">
        <v>1</v>
      </c>
      <c r="G9" s="14">
        <v>3</v>
      </c>
      <c r="H9" s="14">
        <v>2</v>
      </c>
      <c r="I9" s="14">
        <v>5</v>
      </c>
      <c r="J9" s="16">
        <f t="shared" si="0"/>
        <v>1</v>
      </c>
      <c r="K9" s="16">
        <f t="shared" si="1"/>
        <v>0.0909090909090909</v>
      </c>
      <c r="L9" s="17">
        <f t="shared" si="2"/>
        <v>1.5</v>
      </c>
      <c r="M9" s="17">
        <f t="shared" si="3"/>
        <v>1.7</v>
      </c>
    </row>
    <row r="10" spans="1:13">
      <c r="A10" s="12" t="s">
        <v>160</v>
      </c>
      <c r="B10" s="12" t="s">
        <v>164</v>
      </c>
      <c r="C10" s="14">
        <v>12</v>
      </c>
      <c r="D10" s="14">
        <v>9</v>
      </c>
      <c r="E10" s="14">
        <v>20</v>
      </c>
      <c r="F10" s="14">
        <v>2</v>
      </c>
      <c r="G10" s="14">
        <v>4</v>
      </c>
      <c r="H10" s="14">
        <v>2</v>
      </c>
      <c r="I10" s="14">
        <v>4</v>
      </c>
      <c r="J10" s="16">
        <f t="shared" si="0"/>
        <v>0.75</v>
      </c>
      <c r="K10" s="16">
        <f t="shared" si="1"/>
        <v>0.1</v>
      </c>
      <c r="L10" s="17">
        <f t="shared" si="2"/>
        <v>2</v>
      </c>
      <c r="M10" s="17">
        <f t="shared" si="3"/>
        <v>1</v>
      </c>
    </row>
    <row r="11" spans="1:13">
      <c r="A11" s="12" t="s">
        <v>165</v>
      </c>
      <c r="B11" s="12" t="s">
        <v>165</v>
      </c>
      <c r="C11" s="14">
        <v>2</v>
      </c>
      <c r="D11" s="14">
        <v>1</v>
      </c>
      <c r="E11" s="14">
        <v>3</v>
      </c>
      <c r="F11" s="14">
        <v>0</v>
      </c>
      <c r="G11" s="14">
        <v>1</v>
      </c>
      <c r="H11" s="14">
        <v>1</v>
      </c>
      <c r="I11" s="14">
        <v>1</v>
      </c>
      <c r="J11" s="16">
        <f t="shared" si="0"/>
        <v>0.5</v>
      </c>
      <c r="K11" s="16">
        <f t="shared" si="1"/>
        <v>0</v>
      </c>
      <c r="L11" s="17">
        <f t="shared" si="2"/>
        <v>1</v>
      </c>
      <c r="M11" s="17">
        <f t="shared" si="3"/>
        <v>1</v>
      </c>
    </row>
    <row r="12" spans="1:13">
      <c r="A12" s="12" t="s">
        <v>166</v>
      </c>
      <c r="B12" s="12" t="s">
        <v>77</v>
      </c>
      <c r="C12" s="14">
        <v>11</v>
      </c>
      <c r="D12" s="14">
        <v>11</v>
      </c>
      <c r="E12" s="14">
        <v>23</v>
      </c>
      <c r="F12" s="14">
        <v>14</v>
      </c>
      <c r="G12" s="14">
        <v>9</v>
      </c>
      <c r="H12" s="14">
        <v>8</v>
      </c>
      <c r="I12" s="14">
        <v>11</v>
      </c>
      <c r="J12" s="16">
        <f t="shared" si="0"/>
        <v>1</v>
      </c>
      <c r="K12" s="16">
        <f t="shared" si="1"/>
        <v>0.608695652173913</v>
      </c>
      <c r="L12" s="17">
        <f t="shared" si="2"/>
        <v>1.1</v>
      </c>
      <c r="M12" s="17">
        <f t="shared" si="3"/>
        <v>1.2</v>
      </c>
    </row>
    <row r="13" spans="1:13">
      <c r="A13" s="12" t="s">
        <v>166</v>
      </c>
      <c r="B13" s="12" t="s">
        <v>84</v>
      </c>
      <c r="C13" s="14">
        <v>6</v>
      </c>
      <c r="D13" s="14">
        <v>6</v>
      </c>
      <c r="E13" s="14">
        <v>11</v>
      </c>
      <c r="F13" s="14">
        <v>6</v>
      </c>
      <c r="G13" s="14">
        <v>4</v>
      </c>
      <c r="H13" s="14">
        <v>3</v>
      </c>
      <c r="I13" s="14">
        <v>4</v>
      </c>
      <c r="J13" s="16">
        <f t="shared" si="0"/>
        <v>1</v>
      </c>
      <c r="K13" s="16">
        <f t="shared" si="1"/>
        <v>0.545454545454545</v>
      </c>
      <c r="L13" s="17">
        <f t="shared" si="2"/>
        <v>1.3</v>
      </c>
      <c r="M13" s="17">
        <f t="shared" si="3"/>
        <v>1</v>
      </c>
    </row>
    <row r="14" spans="1:13">
      <c r="A14" s="12" t="s">
        <v>166</v>
      </c>
      <c r="B14" s="12" t="s">
        <v>81</v>
      </c>
      <c r="C14" s="14">
        <v>0</v>
      </c>
      <c r="D14" s="14">
        <v>0</v>
      </c>
      <c r="E14" s="14">
        <v>7</v>
      </c>
      <c r="F14" s="14">
        <v>3</v>
      </c>
      <c r="G14" s="14">
        <v>2</v>
      </c>
      <c r="H14" s="14">
        <v>2</v>
      </c>
      <c r="I14" s="14">
        <v>3</v>
      </c>
      <c r="J14" s="16" t="str">
        <f t="shared" si="0"/>
        <v/>
      </c>
      <c r="K14" s="16">
        <f t="shared" si="1"/>
        <v>0.428571428571429</v>
      </c>
      <c r="L14" s="17">
        <f t="shared" si="2"/>
        <v>1</v>
      </c>
      <c r="M14" s="17">
        <f t="shared" si="3"/>
        <v>1.5</v>
      </c>
    </row>
    <row r="15" spans="1:13">
      <c r="A15" s="12" t="s">
        <v>166</v>
      </c>
      <c r="B15" s="12" t="s">
        <v>78</v>
      </c>
      <c r="C15" s="14">
        <v>15</v>
      </c>
      <c r="D15" s="14">
        <v>15</v>
      </c>
      <c r="E15" s="14">
        <v>7</v>
      </c>
      <c r="F15" s="14">
        <v>1</v>
      </c>
      <c r="G15" s="14">
        <v>3</v>
      </c>
      <c r="H15" s="14">
        <v>3</v>
      </c>
      <c r="I15" s="14">
        <v>3</v>
      </c>
      <c r="J15" s="16">
        <f t="shared" si="0"/>
        <v>1</v>
      </c>
      <c r="K15" s="16">
        <f t="shared" si="1"/>
        <v>0.142857142857143</v>
      </c>
      <c r="L15" s="17">
        <f t="shared" si="2"/>
        <v>1</v>
      </c>
      <c r="M15" s="17">
        <f t="shared" si="3"/>
        <v>1</v>
      </c>
    </row>
    <row r="16" spans="1:13">
      <c r="A16" s="12"/>
      <c r="B16" s="12"/>
      <c r="C16" s="14"/>
      <c r="D16" s="14"/>
      <c r="E16" s="14"/>
      <c r="F16" s="14"/>
      <c r="G16" s="14"/>
      <c r="H16" s="14"/>
      <c r="I16" s="14"/>
      <c r="J16" s="16" t="str">
        <f t="shared" si="0"/>
        <v/>
      </c>
      <c r="K16" s="16" t="str">
        <f t="shared" si="1"/>
        <v/>
      </c>
      <c r="L16" s="17" t="str">
        <f t="shared" si="2"/>
        <v/>
      </c>
      <c r="M16" s="17" t="str">
        <f t="shared" si="3"/>
        <v/>
      </c>
    </row>
    <row r="17" spans="1:13">
      <c r="A17" s="12"/>
      <c r="B17" s="12"/>
      <c r="C17" s="14"/>
      <c r="D17" s="14"/>
      <c r="E17" s="14"/>
      <c r="F17" s="14"/>
      <c r="G17" s="14"/>
      <c r="H17" s="14"/>
      <c r="I17" s="14"/>
      <c r="J17" s="16" t="str">
        <f t="shared" si="0"/>
        <v/>
      </c>
      <c r="K17" s="16" t="str">
        <f t="shared" si="1"/>
        <v/>
      </c>
      <c r="L17" s="17" t="str">
        <f t="shared" si="2"/>
        <v/>
      </c>
      <c r="M17" s="17" t="str">
        <f t="shared" si="3"/>
        <v/>
      </c>
    </row>
    <row r="18" spans="1:13">
      <c r="A18" s="12"/>
      <c r="B18" s="12"/>
      <c r="C18" s="14"/>
      <c r="D18" s="14"/>
      <c r="E18" s="14"/>
      <c r="F18" s="14"/>
      <c r="G18" s="14"/>
      <c r="H18" s="14"/>
      <c r="I18" s="14"/>
      <c r="J18" s="16" t="str">
        <f t="shared" si="0"/>
        <v/>
      </c>
      <c r="K18" s="16" t="str">
        <f t="shared" si="1"/>
        <v/>
      </c>
      <c r="L18" s="17" t="str">
        <f t="shared" si="2"/>
        <v/>
      </c>
      <c r="M18" s="17" t="str">
        <f t="shared" si="3"/>
        <v/>
      </c>
    </row>
    <row r="19" spans="1:13">
      <c r="A19" s="12"/>
      <c r="B19" s="12"/>
      <c r="C19" s="14"/>
      <c r="D19" s="14"/>
      <c r="E19" s="14"/>
      <c r="F19" s="14"/>
      <c r="G19" s="14"/>
      <c r="H19" s="14"/>
      <c r="I19" s="14"/>
      <c r="J19" s="16" t="str">
        <f t="shared" si="0"/>
        <v/>
      </c>
      <c r="K19" s="16" t="str">
        <f t="shared" si="1"/>
        <v/>
      </c>
      <c r="L19" s="17" t="str">
        <f t="shared" si="2"/>
        <v/>
      </c>
      <c r="M19" s="17" t="str">
        <f t="shared" si="3"/>
        <v/>
      </c>
    </row>
    <row r="20" spans="1:13">
      <c r="A20" s="12"/>
      <c r="B20" s="12"/>
      <c r="C20" s="14"/>
      <c r="D20" s="14"/>
      <c r="E20" s="14"/>
      <c r="F20" s="14"/>
      <c r="G20" s="14"/>
      <c r="H20" s="14"/>
      <c r="I20" s="14"/>
      <c r="J20" s="16" t="str">
        <f t="shared" si="0"/>
        <v/>
      </c>
      <c r="K20" s="16" t="str">
        <f t="shared" si="1"/>
        <v/>
      </c>
      <c r="L20" s="17" t="str">
        <f t="shared" si="2"/>
        <v/>
      </c>
      <c r="M20" s="17" t="str">
        <f t="shared" si="3"/>
        <v/>
      </c>
    </row>
    <row r="21" spans="1:13">
      <c r="A21" s="12"/>
      <c r="B21" s="12"/>
      <c r="C21" s="14"/>
      <c r="D21" s="14"/>
      <c r="E21" s="14"/>
      <c r="F21" s="14"/>
      <c r="G21" s="14"/>
      <c r="H21" s="14"/>
      <c r="I21" s="14"/>
      <c r="J21" s="16" t="str">
        <f t="shared" si="0"/>
        <v/>
      </c>
      <c r="K21" s="16" t="str">
        <f t="shared" si="1"/>
        <v/>
      </c>
      <c r="L21" s="17" t="str">
        <f t="shared" si="2"/>
        <v/>
      </c>
      <c r="M21" s="17" t="str">
        <f t="shared" si="3"/>
        <v/>
      </c>
    </row>
    <row r="22" spans="1:13">
      <c r="A22" s="12"/>
      <c r="B22" s="12"/>
      <c r="C22" s="14"/>
      <c r="D22" s="14"/>
      <c r="E22" s="14"/>
      <c r="F22" s="14"/>
      <c r="G22" s="14"/>
      <c r="H22" s="14"/>
      <c r="I22" s="14"/>
      <c r="J22" s="16" t="str">
        <f t="shared" si="0"/>
        <v/>
      </c>
      <c r="K22" s="16" t="str">
        <f t="shared" si="1"/>
        <v/>
      </c>
      <c r="L22" s="17" t="str">
        <f t="shared" si="2"/>
        <v/>
      </c>
      <c r="M22" s="17" t="str">
        <f t="shared" si="3"/>
        <v/>
      </c>
    </row>
    <row r="23" spans="1:13">
      <c r="A23" s="12"/>
      <c r="B23" s="12"/>
      <c r="C23" s="14"/>
      <c r="D23" s="14"/>
      <c r="E23" s="14"/>
      <c r="F23" s="14"/>
      <c r="G23" s="14"/>
      <c r="H23" s="14"/>
      <c r="I23" s="14"/>
      <c r="J23" s="16" t="str">
        <f t="shared" si="0"/>
        <v/>
      </c>
      <c r="K23" s="16" t="str">
        <f t="shared" si="1"/>
        <v/>
      </c>
      <c r="L23" s="17" t="str">
        <f t="shared" si="2"/>
        <v/>
      </c>
      <c r="M23" s="17" t="str">
        <f t="shared" si="3"/>
        <v/>
      </c>
    </row>
    <row r="24" spans="1:13">
      <c r="A24" s="12"/>
      <c r="B24" s="12"/>
      <c r="C24" s="14"/>
      <c r="D24" s="14"/>
      <c r="E24" s="14"/>
      <c r="F24" s="14"/>
      <c r="G24" s="14"/>
      <c r="H24" s="14"/>
      <c r="I24" s="14"/>
      <c r="J24" s="16" t="str">
        <f t="shared" si="0"/>
        <v/>
      </c>
      <c r="K24" s="16" t="str">
        <f t="shared" si="1"/>
        <v/>
      </c>
      <c r="L24" s="17" t="str">
        <f t="shared" si="2"/>
        <v/>
      </c>
      <c r="M24" s="17" t="str">
        <f t="shared" si="3"/>
        <v/>
      </c>
    </row>
    <row r="25" spans="1:13">
      <c r="A25" s="12"/>
      <c r="B25" s="12"/>
      <c r="C25" s="14"/>
      <c r="D25" s="14"/>
      <c r="E25" s="14"/>
      <c r="F25" s="14"/>
      <c r="G25" s="14"/>
      <c r="H25" s="14"/>
      <c r="I25" s="14"/>
      <c r="J25" s="16" t="str">
        <f t="shared" si="0"/>
        <v/>
      </c>
      <c r="K25" s="16" t="str">
        <f t="shared" si="1"/>
        <v/>
      </c>
      <c r="L25" s="17" t="str">
        <f t="shared" si="2"/>
        <v/>
      </c>
      <c r="M25" s="17" t="str">
        <f t="shared" si="3"/>
        <v/>
      </c>
    </row>
    <row r="26" spans="1:13">
      <c r="A26" s="12"/>
      <c r="B26" s="12"/>
      <c r="C26" s="14"/>
      <c r="D26" s="14"/>
      <c r="E26" s="14"/>
      <c r="F26" s="14"/>
      <c r="G26" s="14"/>
      <c r="H26" s="14"/>
      <c r="I26" s="14"/>
      <c r="J26" s="16" t="str">
        <f t="shared" si="0"/>
        <v/>
      </c>
      <c r="K26" s="16" t="str">
        <f t="shared" si="1"/>
        <v/>
      </c>
      <c r="L26" s="17" t="str">
        <f t="shared" si="2"/>
        <v/>
      </c>
      <c r="M26" s="17" t="str">
        <f t="shared" si="3"/>
        <v/>
      </c>
    </row>
    <row r="27" spans="1:13">
      <c r="A27" s="12"/>
      <c r="B27" s="12"/>
      <c r="C27" s="14"/>
      <c r="D27" s="14"/>
      <c r="E27" s="14"/>
      <c r="F27" s="14"/>
      <c r="G27" s="14"/>
      <c r="H27" s="14"/>
      <c r="I27" s="14"/>
      <c r="J27" s="16" t="str">
        <f t="shared" si="0"/>
        <v/>
      </c>
      <c r="K27" s="16" t="str">
        <f t="shared" si="1"/>
        <v/>
      </c>
      <c r="L27" s="17" t="str">
        <f t="shared" si="2"/>
        <v/>
      </c>
      <c r="M27" s="17" t="str">
        <f t="shared" si="3"/>
        <v/>
      </c>
    </row>
    <row r="28" spans="1:13">
      <c r="A28" s="12"/>
      <c r="B28" s="12"/>
      <c r="C28" s="14"/>
      <c r="D28" s="14"/>
      <c r="E28" s="14"/>
      <c r="F28" s="14"/>
      <c r="G28" s="14"/>
      <c r="H28" s="14"/>
      <c r="I28" s="14"/>
      <c r="J28" s="16" t="str">
        <f t="shared" si="0"/>
        <v/>
      </c>
      <c r="K28" s="16" t="str">
        <f t="shared" si="1"/>
        <v/>
      </c>
      <c r="L28" s="17" t="str">
        <f t="shared" si="2"/>
        <v/>
      </c>
      <c r="M28" s="17" t="str">
        <f t="shared" si="3"/>
        <v/>
      </c>
    </row>
    <row r="29" spans="1:13">
      <c r="A29" s="12"/>
      <c r="B29" s="12"/>
      <c r="C29" s="14"/>
      <c r="D29" s="14"/>
      <c r="E29" s="14"/>
      <c r="F29" s="14"/>
      <c r="G29" s="14"/>
      <c r="H29" s="14"/>
      <c r="I29" s="14"/>
      <c r="J29" s="16" t="str">
        <f t="shared" si="0"/>
        <v/>
      </c>
      <c r="K29" s="16" t="str">
        <f t="shared" si="1"/>
        <v/>
      </c>
      <c r="L29" s="17" t="str">
        <f t="shared" si="2"/>
        <v/>
      </c>
      <c r="M29" s="17" t="str">
        <f t="shared" si="3"/>
        <v/>
      </c>
    </row>
    <row r="30" spans="1:13">
      <c r="A30" s="12"/>
      <c r="B30" s="12"/>
      <c r="C30" s="14"/>
      <c r="D30" s="14"/>
      <c r="E30" s="14"/>
      <c r="F30" s="14"/>
      <c r="G30" s="14"/>
      <c r="H30" s="14"/>
      <c r="I30" s="14"/>
      <c r="J30" s="16" t="str">
        <f t="shared" si="0"/>
        <v/>
      </c>
      <c r="K30" s="16" t="str">
        <f t="shared" si="1"/>
        <v/>
      </c>
      <c r="L30" s="17" t="str">
        <f t="shared" si="2"/>
        <v/>
      </c>
      <c r="M30" s="17" t="str">
        <f t="shared" si="3"/>
        <v/>
      </c>
    </row>
    <row r="31" spans="1:13">
      <c r="A31" s="12"/>
      <c r="B31" s="12"/>
      <c r="C31" s="14"/>
      <c r="D31" s="14"/>
      <c r="E31" s="14"/>
      <c r="F31" s="14"/>
      <c r="G31" s="14"/>
      <c r="H31" s="14"/>
      <c r="I31" s="14"/>
      <c r="J31" s="16" t="str">
        <f t="shared" si="0"/>
        <v/>
      </c>
      <c r="K31" s="16" t="str">
        <f t="shared" si="1"/>
        <v/>
      </c>
      <c r="L31" s="17" t="str">
        <f t="shared" si="2"/>
        <v/>
      </c>
      <c r="M31" s="17" t="str">
        <f t="shared" si="3"/>
        <v/>
      </c>
    </row>
    <row r="32" spans="1:13">
      <c r="A32" s="12"/>
      <c r="B32" s="12"/>
      <c r="C32" s="14"/>
      <c r="D32" s="14"/>
      <c r="E32" s="14"/>
      <c r="F32" s="14"/>
      <c r="G32" s="14"/>
      <c r="H32" s="14"/>
      <c r="I32" s="14"/>
      <c r="J32" s="16" t="str">
        <f t="shared" si="0"/>
        <v/>
      </c>
      <c r="K32" s="16" t="str">
        <f t="shared" si="1"/>
        <v/>
      </c>
      <c r="L32" s="17" t="str">
        <f t="shared" si="2"/>
        <v/>
      </c>
      <c r="M32" s="17" t="str">
        <f t="shared" si="3"/>
        <v/>
      </c>
    </row>
    <row r="33" spans="1:13">
      <c r="A33" s="12"/>
      <c r="B33" s="12"/>
      <c r="C33" s="14"/>
      <c r="D33" s="14"/>
      <c r="E33" s="14"/>
      <c r="F33" s="14"/>
      <c r="G33" s="14"/>
      <c r="H33" s="14"/>
      <c r="I33" s="14"/>
      <c r="J33" s="16" t="str">
        <f t="shared" si="0"/>
        <v/>
      </c>
      <c r="K33" s="16" t="str">
        <f t="shared" si="1"/>
        <v/>
      </c>
      <c r="L33" s="17" t="str">
        <f t="shared" si="2"/>
        <v/>
      </c>
      <c r="M33" s="17" t="str">
        <f t="shared" si="3"/>
        <v/>
      </c>
    </row>
    <row r="34" spans="1:13">
      <c r="A34" s="12"/>
      <c r="B34" s="12"/>
      <c r="C34" s="14"/>
      <c r="D34" s="14"/>
      <c r="E34" s="14"/>
      <c r="F34" s="14"/>
      <c r="G34" s="14"/>
      <c r="H34" s="14"/>
      <c r="I34" s="14"/>
      <c r="J34" s="16" t="str">
        <f t="shared" si="0"/>
        <v/>
      </c>
      <c r="K34" s="16" t="str">
        <f t="shared" si="1"/>
        <v/>
      </c>
      <c r="L34" s="17" t="str">
        <f t="shared" si="2"/>
        <v/>
      </c>
      <c r="M34" s="17" t="str">
        <f t="shared" si="3"/>
        <v/>
      </c>
    </row>
    <row r="35" spans="1:13">
      <c r="A35" s="12"/>
      <c r="B35" s="12"/>
      <c r="C35" s="14"/>
      <c r="D35" s="14"/>
      <c r="E35" s="14"/>
      <c r="F35" s="14"/>
      <c r="G35" s="14"/>
      <c r="H35" s="14"/>
      <c r="I35" s="14"/>
      <c r="J35" s="16" t="str">
        <f t="shared" si="0"/>
        <v/>
      </c>
      <c r="K35" s="16" t="str">
        <f t="shared" si="1"/>
        <v/>
      </c>
      <c r="L35" s="17" t="str">
        <f t="shared" si="2"/>
        <v/>
      </c>
      <c r="M35" s="17" t="str">
        <f t="shared" si="3"/>
        <v/>
      </c>
    </row>
    <row r="36" spans="1:13">
      <c r="A36" s="12"/>
      <c r="B36" s="12"/>
      <c r="C36" s="14"/>
      <c r="D36" s="14"/>
      <c r="E36" s="14"/>
      <c r="F36" s="14"/>
      <c r="G36" s="14"/>
      <c r="H36" s="14"/>
      <c r="I36" s="14"/>
      <c r="J36" s="16" t="str">
        <f t="shared" si="0"/>
        <v/>
      </c>
      <c r="K36" s="16" t="str">
        <f t="shared" si="1"/>
        <v/>
      </c>
      <c r="L36" s="17" t="str">
        <f t="shared" si="2"/>
        <v/>
      </c>
      <c r="M36" s="17" t="str">
        <f t="shared" si="3"/>
        <v/>
      </c>
    </row>
    <row r="37" spans="1:13">
      <c r="A37" s="12"/>
      <c r="B37" s="12"/>
      <c r="C37" s="14"/>
      <c r="D37" s="14"/>
      <c r="E37" s="14"/>
      <c r="F37" s="14"/>
      <c r="G37" s="14"/>
      <c r="H37" s="14"/>
      <c r="I37" s="14"/>
      <c r="J37" s="16" t="str">
        <f t="shared" si="0"/>
        <v/>
      </c>
      <c r="K37" s="16" t="str">
        <f t="shared" si="1"/>
        <v/>
      </c>
      <c r="L37" s="17" t="str">
        <f t="shared" si="2"/>
        <v/>
      </c>
      <c r="M37" s="17" t="str">
        <f t="shared" si="3"/>
        <v/>
      </c>
    </row>
    <row r="38" spans="1:13">
      <c r="A38" s="12"/>
      <c r="B38" s="12"/>
      <c r="C38" s="14"/>
      <c r="D38" s="14"/>
      <c r="E38" s="14"/>
      <c r="F38" s="14"/>
      <c r="G38" s="14"/>
      <c r="H38" s="14"/>
      <c r="I38" s="14"/>
      <c r="J38" s="16" t="str">
        <f t="shared" si="0"/>
        <v/>
      </c>
      <c r="K38" s="16" t="str">
        <f t="shared" si="1"/>
        <v/>
      </c>
      <c r="L38" s="17" t="str">
        <f t="shared" si="2"/>
        <v/>
      </c>
      <c r="M38" s="17" t="str">
        <f t="shared" si="3"/>
        <v/>
      </c>
    </row>
    <row r="39" spans="1:13">
      <c r="A39" s="12"/>
      <c r="B39" s="12"/>
      <c r="C39" s="14"/>
      <c r="D39" s="14"/>
      <c r="E39" s="14"/>
      <c r="F39" s="14"/>
      <c r="G39" s="14"/>
      <c r="H39" s="14"/>
      <c r="I39" s="14"/>
      <c r="J39" s="16" t="str">
        <f t="shared" si="0"/>
        <v/>
      </c>
      <c r="K39" s="16" t="str">
        <f t="shared" si="1"/>
        <v/>
      </c>
      <c r="L39" s="17" t="str">
        <f t="shared" si="2"/>
        <v/>
      </c>
      <c r="M39" s="17" t="str">
        <f t="shared" si="3"/>
        <v/>
      </c>
    </row>
    <row r="40" spans="1:13">
      <c r="A40" s="12"/>
      <c r="B40" s="12"/>
      <c r="C40" s="14"/>
      <c r="D40" s="14"/>
      <c r="E40" s="14"/>
      <c r="F40" s="14"/>
      <c r="G40" s="14"/>
      <c r="H40" s="14"/>
      <c r="I40" s="14"/>
      <c r="J40" s="16" t="str">
        <f t="shared" si="0"/>
        <v/>
      </c>
      <c r="K40" s="16" t="str">
        <f t="shared" si="1"/>
        <v/>
      </c>
      <c r="L40" s="17" t="str">
        <f t="shared" si="2"/>
        <v/>
      </c>
      <c r="M40" s="17" t="str">
        <f t="shared" si="3"/>
        <v/>
      </c>
    </row>
    <row r="41" spans="1:13">
      <c r="A41" s="12"/>
      <c r="B41" s="12"/>
      <c r="C41" s="14"/>
      <c r="D41" s="14"/>
      <c r="E41" s="14"/>
      <c r="F41" s="14"/>
      <c r="G41" s="14"/>
      <c r="H41" s="14"/>
      <c r="I41" s="14"/>
      <c r="J41" s="16" t="str">
        <f t="shared" si="0"/>
        <v/>
      </c>
      <c r="K41" s="16" t="str">
        <f t="shared" si="1"/>
        <v/>
      </c>
      <c r="L41" s="17" t="str">
        <f t="shared" si="2"/>
        <v/>
      </c>
      <c r="M41" s="17" t="str">
        <f t="shared" si="3"/>
        <v/>
      </c>
    </row>
    <row r="42" spans="1:13">
      <c r="A42" s="12"/>
      <c r="B42" s="12"/>
      <c r="C42" s="14"/>
      <c r="D42" s="14"/>
      <c r="E42" s="14"/>
      <c r="F42" s="14"/>
      <c r="G42" s="14"/>
      <c r="H42" s="14"/>
      <c r="I42" s="14"/>
      <c r="J42" s="16" t="str">
        <f t="shared" si="0"/>
        <v/>
      </c>
      <c r="K42" s="16" t="str">
        <f t="shared" si="1"/>
        <v/>
      </c>
      <c r="L42" s="17" t="str">
        <f t="shared" si="2"/>
        <v/>
      </c>
      <c r="M42" s="17" t="str">
        <f t="shared" si="3"/>
        <v/>
      </c>
    </row>
    <row r="43" spans="1:13">
      <c r="A43" s="12"/>
      <c r="B43" s="12"/>
      <c r="C43" s="14"/>
      <c r="D43" s="14"/>
      <c r="E43" s="14"/>
      <c r="F43" s="14"/>
      <c r="G43" s="14"/>
      <c r="H43" s="14"/>
      <c r="I43" s="14"/>
      <c r="J43" s="16" t="str">
        <f t="shared" si="0"/>
        <v/>
      </c>
      <c r="K43" s="16" t="str">
        <f t="shared" si="1"/>
        <v/>
      </c>
      <c r="L43" s="17" t="str">
        <f t="shared" si="2"/>
        <v/>
      </c>
      <c r="M43" s="17" t="str">
        <f t="shared" si="3"/>
        <v/>
      </c>
    </row>
  </sheetData>
  <dataValidations count="1">
    <dataValidation type="decimal" operator="between" allowBlank="1" showErrorMessage="1" error="Numbers only" sqref="C4:C43 D4:D43 E4:E43 F4:F43 G4:G43 H4:H43 I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workbookViewId="0">
      <pane ySplit="3" topLeftCell="A4" activePane="bottomLeft" state="frozen"/>
      <selection/>
      <selection pane="bottomLeft" activeCell="E9" sqref="E9"/>
    </sheetView>
  </sheetViews>
  <sheetFormatPr defaultColWidth="8.68181818181818" defaultRowHeight="14.5" outlineLevelCol="4"/>
  <cols>
    <col min="1" max="1" width="14" customWidth="1"/>
    <col min="2" max="2" width="31.0909090909091" customWidth="1"/>
    <col min="3" max="3" width="12" customWidth="1"/>
    <col min="4" max="4" width="8" customWidth="1"/>
    <col min="5" max="5" width="80" customWidth="1"/>
  </cols>
  <sheetData>
    <row r="1" ht="18" spans="1:5">
      <c r="A1" s="1" t="s">
        <v>167</v>
      </c>
    </row>
    <row r="2" spans="1:5">
      <c r="A2" s="2" t="s">
        <v>168</v>
      </c>
    </row>
    <row r="3" ht="30" customHeight="1" spans="1:5">
      <c r="A3" s="3" t="s">
        <v>169</v>
      </c>
      <c r="B3" s="3" t="s">
        <v>170</v>
      </c>
      <c r="C3" s="3" t="s">
        <v>107</v>
      </c>
      <c r="D3" s="3" t="s">
        <v>138</v>
      </c>
      <c r="E3" s="3" t="s">
        <v>171</v>
      </c>
    </row>
    <row r="4" ht="20" customHeight="1" spans="1:5">
      <c r="A4" s="4" t="s">
        <v>172</v>
      </c>
      <c r="B4" s="4" t="s">
        <v>173</v>
      </c>
      <c r="C4" s="5">
        <v>46317</v>
      </c>
      <c r="D4" s="6">
        <v>1</v>
      </c>
      <c r="E4" s="7" t="s">
        <v>174</v>
      </c>
    </row>
    <row r="5" ht="20" customHeight="1" spans="1:5">
      <c r="A5" s="4" t="s">
        <v>172</v>
      </c>
      <c r="B5" s="4" t="s">
        <v>173</v>
      </c>
      <c r="C5" s="5">
        <v>46317</v>
      </c>
      <c r="D5" s="6">
        <v>1</v>
      </c>
      <c r="E5" s="7" t="s">
        <v>175</v>
      </c>
    </row>
    <row r="6" ht="20" customHeight="1" spans="1:5">
      <c r="A6" s="4" t="s">
        <v>172</v>
      </c>
      <c r="B6" s="4" t="s">
        <v>173</v>
      </c>
      <c r="C6" s="5">
        <v>46317</v>
      </c>
      <c r="D6" s="6">
        <v>1</v>
      </c>
      <c r="E6" s="7" t="s">
        <v>176</v>
      </c>
    </row>
    <row r="7" ht="20" customHeight="1" spans="1:5">
      <c r="A7" s="4" t="s">
        <v>172</v>
      </c>
      <c r="B7" s="4" t="s">
        <v>173</v>
      </c>
      <c r="C7" s="5">
        <v>46317</v>
      </c>
      <c r="D7" s="6">
        <v>1</v>
      </c>
      <c r="E7" s="7" t="s">
        <v>177</v>
      </c>
    </row>
    <row r="8" ht="20" customHeight="1" spans="1:5">
      <c r="A8" s="4" t="s">
        <v>172</v>
      </c>
      <c r="B8" s="4" t="s">
        <v>173</v>
      </c>
      <c r="C8" s="5">
        <v>46317</v>
      </c>
      <c r="D8" s="6">
        <v>1</v>
      </c>
      <c r="E8" s="7" t="s">
        <v>178</v>
      </c>
    </row>
    <row r="9" ht="20" customHeight="1" spans="1:5">
      <c r="A9" s="8" t="s">
        <v>172</v>
      </c>
      <c r="B9" s="8" t="s">
        <v>179</v>
      </c>
      <c r="C9" s="9">
        <v>46317</v>
      </c>
      <c r="D9" s="10">
        <v>1</v>
      </c>
      <c r="E9" s="11" t="s">
        <v>180</v>
      </c>
    </row>
    <row r="10" spans="1:5">
      <c r="A10" s="12" t="s">
        <v>55</v>
      </c>
      <c r="B10" s="13" t="s">
        <v>181</v>
      </c>
      <c r="C10" s="9">
        <v>46316</v>
      </c>
      <c r="D10" s="14">
        <v>1</v>
      </c>
      <c r="E10" s="11" t="s">
        <v>182</v>
      </c>
    </row>
    <row r="11" spans="1:5">
      <c r="A11" s="12"/>
      <c r="B11" s="12"/>
      <c r="C11" s="15"/>
      <c r="D11" s="14"/>
      <c r="E11" s="11"/>
    </row>
    <row r="12" spans="1:5">
      <c r="A12" s="12"/>
      <c r="B12" s="12"/>
      <c r="C12" s="15"/>
      <c r="D12" s="14"/>
      <c r="E12" s="11"/>
    </row>
    <row r="13" spans="1:5">
      <c r="A13" s="12"/>
      <c r="B13" s="12"/>
      <c r="C13" s="15"/>
      <c r="D13" s="14"/>
      <c r="E13" s="11"/>
    </row>
    <row r="14" spans="1:5">
      <c r="A14" s="12"/>
      <c r="B14" s="12"/>
      <c r="C14" s="15"/>
      <c r="D14" s="14"/>
      <c r="E14" s="11"/>
    </row>
    <row r="15" spans="1:5">
      <c r="A15" s="12"/>
      <c r="B15" s="12"/>
      <c r="C15" s="15"/>
      <c r="D15" s="14"/>
      <c r="E15" s="11"/>
    </row>
    <row r="16" spans="1:5">
      <c r="A16" s="12"/>
      <c r="B16" s="12"/>
      <c r="C16" s="15"/>
      <c r="D16" s="14"/>
      <c r="E16" s="11"/>
    </row>
    <row r="17" spans="1:5">
      <c r="A17" s="12"/>
      <c r="B17" s="12"/>
      <c r="C17" s="15"/>
      <c r="D17" s="14"/>
      <c r="E17" s="11"/>
    </row>
    <row r="18" spans="1:5">
      <c r="A18" s="12"/>
      <c r="B18" s="12"/>
      <c r="C18" s="15"/>
      <c r="D18" s="14"/>
      <c r="E18" s="11"/>
    </row>
    <row r="19" spans="1:5">
      <c r="A19" s="12"/>
      <c r="B19" s="12"/>
      <c r="C19" s="15"/>
      <c r="D19" s="14"/>
      <c r="E19" s="11"/>
    </row>
    <row r="20" spans="1:5">
      <c r="A20" s="12"/>
      <c r="B20" s="12"/>
      <c r="C20" s="15"/>
      <c r="D20" s="14"/>
      <c r="E20" s="11"/>
    </row>
    <row r="21" spans="1:5">
      <c r="A21" s="12"/>
      <c r="B21" s="12"/>
      <c r="C21" s="15"/>
      <c r="D21" s="14"/>
      <c r="E21" s="11"/>
    </row>
    <row r="22" spans="1:5">
      <c r="A22" s="12"/>
      <c r="B22" s="12"/>
      <c r="C22" s="15"/>
      <c r="D22" s="14"/>
      <c r="E22" s="11"/>
    </row>
    <row r="23" spans="1:5">
      <c r="A23" s="12"/>
      <c r="B23" s="12"/>
      <c r="C23" s="15"/>
      <c r="D23" s="14"/>
      <c r="E23" s="11"/>
    </row>
    <row r="24" spans="1:5">
      <c r="A24" s="12"/>
      <c r="B24" s="12"/>
      <c r="C24" s="15"/>
      <c r="D24" s="14"/>
      <c r="E24" s="11"/>
    </row>
    <row r="25" spans="1:5">
      <c r="A25" s="12"/>
      <c r="B25" s="12"/>
      <c r="C25" s="15"/>
      <c r="D25" s="14"/>
      <c r="E25" s="11"/>
    </row>
    <row r="26" spans="1:5">
      <c r="A26" s="12"/>
      <c r="B26" s="12"/>
      <c r="C26" s="15"/>
      <c r="D26" s="14"/>
      <c r="E26" s="11"/>
    </row>
    <row r="27" spans="1:5">
      <c r="A27" s="12"/>
      <c r="B27" s="12"/>
      <c r="C27" s="15"/>
      <c r="D27" s="14"/>
      <c r="E27" s="11"/>
    </row>
    <row r="28" spans="1:5">
      <c r="A28" s="12"/>
      <c r="B28" s="12"/>
      <c r="C28" s="15"/>
      <c r="D28" s="14"/>
      <c r="E28" s="11"/>
    </row>
    <row r="29" spans="1:5">
      <c r="A29" s="12"/>
      <c r="B29" s="12"/>
      <c r="C29" s="15"/>
      <c r="D29" s="14"/>
      <c r="E29" s="11"/>
    </row>
    <row r="30" spans="1:5">
      <c r="A30" s="12"/>
      <c r="B30" s="12"/>
      <c r="C30" s="15"/>
      <c r="D30" s="14"/>
      <c r="E30" s="11"/>
    </row>
    <row r="31" spans="1:5">
      <c r="A31" s="12"/>
      <c r="B31" s="12"/>
      <c r="C31" s="15"/>
      <c r="D31" s="14"/>
      <c r="E31" s="11"/>
    </row>
    <row r="32" spans="1:5">
      <c r="A32" s="12"/>
      <c r="B32" s="12"/>
      <c r="C32" s="15"/>
      <c r="D32" s="14"/>
      <c r="E32" s="11"/>
    </row>
    <row r="33" spans="1:5">
      <c r="A33" s="12"/>
      <c r="B33" s="12"/>
      <c r="C33" s="15"/>
      <c r="D33" s="14"/>
      <c r="E33" s="11"/>
    </row>
    <row r="34" spans="1:5">
      <c r="A34" s="12"/>
      <c r="B34" s="12"/>
      <c r="C34" s="15"/>
      <c r="D34" s="14"/>
      <c r="E34" s="11"/>
    </row>
    <row r="35" spans="1:5">
      <c r="A35" s="12"/>
      <c r="B35" s="12"/>
      <c r="C35" s="15"/>
      <c r="D35" s="14"/>
      <c r="E35" s="11"/>
    </row>
    <row r="36" spans="1:5">
      <c r="A36" s="12"/>
      <c r="B36" s="12"/>
      <c r="C36" s="15"/>
      <c r="D36" s="14"/>
      <c r="E36" s="11"/>
    </row>
    <row r="37" spans="1:5">
      <c r="A37" s="12"/>
      <c r="B37" s="12"/>
      <c r="C37" s="15"/>
      <c r="D37" s="14"/>
      <c r="E37" s="11"/>
    </row>
    <row r="38" spans="1:5">
      <c r="A38" s="12"/>
      <c r="B38" s="12"/>
      <c r="C38" s="15"/>
      <c r="D38" s="14"/>
      <c r="E38" s="11"/>
    </row>
    <row r="39" spans="1:5">
      <c r="A39" s="12"/>
      <c r="B39" s="12"/>
      <c r="C39" s="15"/>
      <c r="D39" s="14"/>
      <c r="E39" s="11"/>
    </row>
    <row r="40" spans="1:5">
      <c r="A40" s="12"/>
      <c r="B40" s="12"/>
      <c r="C40" s="15"/>
      <c r="D40" s="14"/>
      <c r="E40" s="11"/>
    </row>
    <row r="41" spans="1:5">
      <c r="A41" s="12"/>
      <c r="B41" s="12"/>
      <c r="C41" s="15"/>
      <c r="D41" s="14"/>
      <c r="E41" s="11"/>
    </row>
    <row r="42" spans="1:5">
      <c r="A42" s="12"/>
      <c r="B42" s="12"/>
      <c r="C42" s="15"/>
      <c r="D42" s="14"/>
      <c r="E42" s="11"/>
    </row>
    <row r="43" spans="1:5">
      <c r="A43" s="12"/>
      <c r="B43" s="12"/>
      <c r="C43" s="15"/>
      <c r="D43" s="14"/>
      <c r="E43" s="11"/>
    </row>
    <row r="44" spans="1:5">
      <c r="A44" s="12"/>
      <c r="B44" s="12"/>
      <c r="C44" s="15"/>
      <c r="D44" s="14"/>
      <c r="E44" s="11"/>
    </row>
    <row r="45" spans="1:5">
      <c r="A45" s="12"/>
      <c r="B45" s="12"/>
      <c r="C45" s="15"/>
      <c r="D45" s="14"/>
      <c r="E45" s="11"/>
    </row>
    <row r="46" spans="1:5">
      <c r="A46" s="12"/>
      <c r="B46" s="12"/>
      <c r="C46" s="15"/>
      <c r="D46" s="14"/>
      <c r="E46" s="11"/>
    </row>
    <row r="47" spans="1:5">
      <c r="A47" s="12"/>
      <c r="B47" s="12"/>
      <c r="C47" s="15"/>
      <c r="D47" s="14"/>
      <c r="E47" s="11"/>
    </row>
    <row r="48" spans="1:5">
      <c r="A48" s="12"/>
      <c r="B48" s="12"/>
      <c r="C48" s="15"/>
      <c r="D48" s="14"/>
      <c r="E48" s="11"/>
    </row>
    <row r="49" spans="1:5">
      <c r="A49" s="12"/>
      <c r="B49" s="12"/>
      <c r="C49" s="15"/>
      <c r="D49" s="14"/>
      <c r="E49" s="11"/>
    </row>
    <row r="50" spans="1:5">
      <c r="A50" s="12"/>
      <c r="B50" s="12"/>
      <c r="C50" s="15"/>
      <c r="D50" s="14"/>
      <c r="E50" s="11"/>
    </row>
    <row r="51" spans="1:5">
      <c r="A51" s="12"/>
      <c r="B51" s="12"/>
      <c r="C51" s="15"/>
      <c r="D51" s="14"/>
      <c r="E51" s="11"/>
    </row>
    <row r="52" spans="1:5">
      <c r="A52" s="12"/>
      <c r="B52" s="12"/>
      <c r="C52" s="15"/>
      <c r="D52" s="14"/>
      <c r="E52" s="11"/>
    </row>
    <row r="53" spans="1:5">
      <c r="A53" s="12"/>
      <c r="B53" s="12"/>
      <c r="C53" s="15"/>
      <c r="D53" s="14"/>
      <c r="E53" s="11"/>
    </row>
    <row r="54" spans="1:5">
      <c r="A54" s="12"/>
      <c r="B54" s="12"/>
      <c r="C54" s="15"/>
      <c r="D54" s="14"/>
      <c r="E54" s="11"/>
    </row>
    <row r="55" spans="1:5">
      <c r="A55" s="12"/>
      <c r="B55" s="12"/>
      <c r="C55" s="15"/>
      <c r="D55" s="14"/>
      <c r="E55" s="11"/>
    </row>
    <row r="56" spans="1:5">
      <c r="A56" s="12"/>
      <c r="B56" s="12"/>
      <c r="C56" s="15"/>
      <c r="D56" s="14"/>
      <c r="E56" s="11"/>
    </row>
    <row r="57" spans="1:5">
      <c r="A57" s="12"/>
      <c r="B57" s="12"/>
      <c r="C57" s="15"/>
      <c r="D57" s="14"/>
      <c r="E57" s="11"/>
    </row>
    <row r="58" spans="1:5">
      <c r="A58" s="12"/>
      <c r="B58" s="12"/>
      <c r="C58" s="15"/>
      <c r="D58" s="14"/>
      <c r="E58" s="11"/>
    </row>
    <row r="59" spans="1:5">
      <c r="A59" s="12"/>
      <c r="B59" s="12"/>
      <c r="C59" s="15"/>
      <c r="D59" s="14"/>
      <c r="E59" s="11"/>
    </row>
    <row r="60" spans="1:5">
      <c r="A60" s="12"/>
      <c r="B60" s="12"/>
      <c r="C60" s="15"/>
      <c r="D60" s="14"/>
      <c r="E60" s="11"/>
    </row>
    <row r="61" spans="1:5">
      <c r="A61" s="12"/>
      <c r="B61" s="12"/>
      <c r="C61" s="15"/>
      <c r="D61" s="14"/>
      <c r="E61" s="11"/>
    </row>
    <row r="62" spans="1:5">
      <c r="A62" s="12"/>
      <c r="B62" s="12"/>
      <c r="C62" s="15"/>
      <c r="D62" s="14"/>
      <c r="E62" s="11"/>
    </row>
    <row r="63" spans="1:5">
      <c r="A63" s="12"/>
      <c r="B63" s="12"/>
      <c r="C63" s="15"/>
      <c r="D63" s="14"/>
      <c r="E63" s="11"/>
    </row>
  </sheetData>
  <dataValidations count="5">
    <dataValidation type="date" operator="greaterThan" allowBlank="1" showErrorMessage="1" error="Enter a date, e.g. 16-Oct-2026" sqref="C4 C9 C10 C5:C8">
      <formula1>45000</formula1>
    </dataValidation>
    <dataValidation type="decimal" operator="between" allowBlank="1" showErrorMessage="1" error="Numbers only" sqref="D4 D9 D5:D8 D10:D63">
      <formula1>-100000</formula1>
      <formula2>100000</formula2>
    </dataValidation>
    <dataValidation type="list" allowBlank="1" showErrorMessage="1" error="Pick a value from the list" sqref="A6 A7 A8 A9 A4:A5">
      <formula1>"Fleet,FTTx,FTTx pending"</formula1>
    </dataValidation>
    <dataValidation type="list" allowBlank="1" showErrorMessage="1" error="Pick a value from the list" sqref="A10:A63">
      <formula1>"Fleet,FTTx,FTTx pending"</formula1>
    </dataValidation>
    <dataValidation type="date" operator="greaterThan" allowBlank="1" showErrorMessage="1" error="Enter a date, e.g. 16-Oct-2026" sqref="C11:C63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Frontiir</cp:lastModifiedBy>
  <cp:revision>0</cp:revision>
  <dcterms:created xsi:type="dcterms:W3CDTF">2026-10-20T11:36:00Z</dcterms:created>
  <dcterms:modified xsi:type="dcterms:W3CDTF">2026-10-23T06:49:38Z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8146F8B12FF249EA9CEFFA4C3C704246_13</vt:lpwstr>
  </property>
</Properties>
</file>