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460" tabRatio="500" firstSheet="6" activeTab="10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<sst xmlns="http://schemas.openxmlformats.org/spreadsheetml/2006/main" count="262" uniqueCount="175">
  <si>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</si>
  <si>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</si>
  <si>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</si>
  <si>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</si>
  <si>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</si>
  <si>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</si>
  <si>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</si>
  <si>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</si>
  <si>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</si>
  <si>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</si>
  <si>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</si>
  <si>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</si>
  <si>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</si>
  <si>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</si>
  <si>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</si>
  <si>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</si>
  <si>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</si>
  <si>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</si>
  <si>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</si>
  <si>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</si>
  <si>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</si>
  <si>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</si>
  <si>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</si>
  <si>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</si>
  <si>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</si>
  <si>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</si>
  <si>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</si>
  <si>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</si>
  <si>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</si>
  <si>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</si>
  <si>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</si>
  <si>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</si>
  <si>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</si>
  <si>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</si>
  <si>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</si>
  <si>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</si>
  <si>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</si>
  <si>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</si>
  <si>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</si>
  <si>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</si>
  <si>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</si>
  <si>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</si>
  <si>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</si>
  <si>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</si>
  <si>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</si>
  <si>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</si>
  <si>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</si>
  <si>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</si>
  <si>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</si>
  <si>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</si>
  <si>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</si>
  <si>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</si>
  <si>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</si>
  <si>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Admin</t>
  </si>
  <si>
    <t>Facility</t>
  </si>
  <si>
    <t>FinSbS2</t>
  </si>
  <si>
    <t>Fleet</t>
  </si>
  <si>
    <t>Impl-QC</t>
  </si>
  <si>
    <t>Impl-SbS</t>
  </si>
  <si>
    <t>PMOps</t>
  </si>
  <si>
    <t>Procurement</t>
  </si>
  <si>
    <t>Sales-BizP</t>
  </si>
  <si>
    <t>Sales-DIA</t>
  </si>
  <si>
    <t>Sales-OPI</t>
  </si>
  <si>
    <t>StraOps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</si>
  <si>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</si>
  <si>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</si>
  <si>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</si>
  <si>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</si>
  <si>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</si>
  <si>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</si>
  <si>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</si>
  <si>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</si>
  <si>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</si>
  <si>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YGN</t>
  </si>
  <si>
    <t>BOB</t>
  </si>
  <si>
    <t>MAM</t>
  </si>
  <si>
    <t>MDY</t>
  </si>
  <si>
    <t>MEO</t>
  </si>
  <si>
    <t>MYW</t>
  </si>
  <si>
    <t>NPW</t>
  </si>
  <si>
    <t>TIS</t>
  </si>
  <si>
    <t>TOB</t>
  </si>
  <si>
    <t>Fleet notes</t>
  </si>
  <si>
    <t>Keep the Item names exactly as written; fill the Cars column.</t>
  </si>
  <si>
    <t>Cars</t>
  </si>
  <si>
    <t>Plan above actual</t>
  </si>
  <si>
    <t>Driver leave / site cancel</t>
  </si>
  <si>
    <t>Diff</t>
  </si>
  <si>
    <t>Office car (day + night)</t>
  </si>
  <si>
    <t>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</si>
  <si>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</si>
  <si>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</si>
  <si>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</si>
  <si>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</si>
  <si>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</si>
  <si>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</si>
  <si>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</si>
  <si>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</si>
  <si>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</si>
  <si>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</si>
  <si>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</si>
  <si>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</si>
  <si>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</si>
  <si>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</si>
  <si>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</si>
  <si>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</si>
  <si>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</si>
  <si>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</si>
  <si>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</si>
  <si>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</si>
  <si>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</si>
  <si>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</si>
  <si>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</si>
  <si>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Done</t>
  </si>
  <si>
    <t>R2</t>
  </si>
  <si>
    <t>SRY</t>
  </si>
  <si>
    <t>Cable Cleaning</t>
  </si>
  <si>
    <t>(၂) ရပ်ကွက် မြို့ပတ်လမ်းထောင့် (ဗိုလ်ချုပ်အောင်ဆန်းလမ်း)</t>
  </si>
  <si>
    <t>R1</t>
  </si>
  <si>
    <t>TAY</t>
  </si>
  <si>
    <t>အနော်မာရပ်ကွက် အနော်မာ၁၂လမ်းထောင့် (အနော်မာလမ်း)</t>
  </si>
  <si>
    <t>MEY</t>
  </si>
  <si>
    <t>Cable Cutting</t>
  </si>
  <si>
    <t>(၃) ရပ်ကွက် Seafood City Hot Potရှေ့ (မင်းဓမ္မလမ်း)</t>
  </si>
  <si>
    <t>HGY</t>
  </si>
  <si>
    <t>(၁၆) ရပ်ကွက် ဘုရင့်နောင်လမ်းထောင့် (လှိုင်ဘူးတာရုံလမ်း)</t>
  </si>
  <si>
    <t>(၃) ရပ်ကွက် ဗိုလ်ချုပ်လမ်းထောင့် မင်းဓမ္မလမ်း</t>
  </si>
  <si>
    <t>DNY</t>
  </si>
  <si>
    <t>(ဦးဝိစာရရပ်ကွက်) အမျိုးသားရေကူးကန်ရှေ့ (ဦးဝိစာရလမ်း)</t>
  </si>
  <si>
    <t>HRY</t>
  </si>
  <si>
    <t>(၁၂) ရပ်ကွက် ဦးဥတ္တမလမ်းတောင့် (တပင်ရွှေထီးလမ်း)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</si>
  <si>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</si>
  <si>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</si>
  <si>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</si>
  <si>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</si>
  <si>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</si>
  <si>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</si>
  <si>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</si>
  <si>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Pending @ Gov</t>
  </si>
  <si>
    <t>Pending @ Ops</t>
  </si>
  <si>
    <t>Permission issue</t>
  </si>
  <si>
    <t>Remain CA2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</si>
  <si>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</si>
  <si>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</si>
  <si>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</si>
  <si>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</si>
  <si>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</si>
  <si>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</si>
  <si>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</si>
  <si>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</si>
  <si>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</si>
  <si>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</si>
  <si>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</si>
  <si>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NAY</t>
  </si>
  <si>
    <t>TNY</t>
  </si>
  <si>
    <t>R1s</t>
  </si>
  <si>
    <t>SAY</t>
  </si>
  <si>
    <t>DOY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</si>
  <si>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</si>
  <si>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</si>
  <si>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</si>
  <si>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</si>
  <si>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</si>
  <si>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</si>
  <si>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</si>
  <si>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</si>
  <si>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</si>
  <si>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FTTx pending</t>
  </si>
  <si>
    <t>-ENY မြို့နယ်တွင် EPC တိုင်နှုတ်လို့ ကြိုးများ ပျက်ကျသွားတာပါ/ဒီနေ့ပြန်ဝင်နေပါပြီ (CA2 Broken-1 site,CA2 Highloss-2 sites)</t>
  </si>
  <si>
    <t>-ENY မြို့နယ်တွင် EPC တိုင်နှုတ်လို့ CA1 များ ကြိုးပြန်ဆွဲနေရသောကြောင့်DAY သို့ မရောက်ဖြစ်ခဲ့တာပါ (CA2 Broken-1 site)</t>
  </si>
  <si>
    <t>Car in Workshop</t>
  </si>
  <si>
    <t>5R/7098 &gt; Fleet (Workshop)</t>
  </si>
  <si>
    <t>Car Accident</t>
  </si>
  <si>
    <t xml:space="preserve">9S/6972 &gt; BoxOps1 ( Car Accident Case) 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</si>
</sst>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2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sz val="12"/>
      <color theme="1"/>
      <name val="Calibri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176" fontId="4" fillId="3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/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top" wrapText="1"/>
    </xf>
    <xf numFmtId="176" fontId="4" fillId="3" borderId="1" xfId="0" applyNumberFormat="1" applyFont="1" applyFill="1" applyBorder="1"/>
    <xf numFmtId="1" fontId="4" fillId="3" borderId="1" xfId="0" applyNumberFormat="1" applyFont="1" applyFill="1" applyBorder="1" applyAlignment="1">
      <alignment horizontal="center"/>
    </xf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9" fontId="5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wrapText="1" readingOrder="1"/>
    </xf>
    <xf numFmtId="0" fontId="3" fillId="2" borderId="1" xfId="0" applyFont="1" applyFill="1" applyBorder="1"/>
    <xf numFmtId="0" fontId="7" fillId="0" borderId="1" xfId="0" applyFont="1" applyBorder="1"/>
    <xf numFmtId="176" fontId="4" fillId="3" borderId="1" xfId="0" applyNumberFormat="1" applyFont="1" applyFill="1" applyBorder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A1" sqref="A1"/>
    </sheetView>
  </sheetViews>
  <sheetFormatPr defaultColWidth="8.68181818181818" defaultRowHeight="14.5" outlineLevelCol="1"/>
  <cols>
    <col min="1" max="1" width="4" customWidth="1"/>
    <col min="2" max="2" width="100" customWidth="1"/>
  </cols>
  <sheetData>
    <row r="2" ht="20" spans="1:2">
      <c r="B2" s="23" t="s">
        <v>0</v>
      </c>
    </row>
    <row r="3" spans="1:2">
      <c r="B3" s="24" t="s">
        <v>1</v>
      </c>
    </row>
    <row r="5" ht="15.5" spans="1:2">
      <c r="B5" s="25" t="s">
        <v>2</v>
      </c>
    </row>
    <row r="6" spans="1:2">
      <c r="B6" s="24" t="s">
        <v>3</v>
      </c>
    </row>
    <row r="7" spans="1:2">
      <c r="B7" s="24" t="s">
        <v>4</v>
      </c>
    </row>
    <row r="8" spans="1:2">
      <c r="B8" s="24" t="s">
        <v>5</v>
      </c>
    </row>
    <row r="9" spans="1:2">
      <c r="B9" s="24" t="s">
        <v>6</v>
      </c>
    </row>
    <row r="10" spans="1:2">
      <c r="B10" s="24" t="s">
        <v>7</v>
      </c>
    </row>
    <row r="11" spans="1:2">
      <c r="B11" s="24" t="s">
        <v>8</v>
      </c>
    </row>
    <row r="13" ht="15.5" spans="1:2">
      <c r="B13" s="25" t="s">
        <v>9</v>
      </c>
    </row>
    <row r="14" spans="1:2">
      <c r="A14" s="26"/>
      <c r="B14" s="24" t="s">
        <v>10</v>
      </c>
    </row>
    <row r="15" spans="1:2">
      <c r="A15" s="27"/>
      <c r="B15" s="24" t="s">
        <v>11</v>
      </c>
    </row>
    <row r="16" spans="1:2">
      <c r="A16" s="28"/>
      <c r="B16" s="24" t="s">
        <v>12</v>
      </c>
    </row>
    <row r="18" spans="2:2">
      <c r="B18" s="3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3" topLeftCell="A4" activePane="bottomLeft" state="frozen"/>
      <selection/>
      <selection pane="bottomLeft" activeCell="B13" sqref="B13"/>
    </sheetView>
  </sheetViews>
  <sheetFormatPr defaultColWidth="8.68181818181818" defaultRowHeight="14.5" outlineLevelRow="7" outlineLevelCol="1"/>
  <cols>
    <col min="1" max="2" width="16" customWidth="1"/>
  </cols>
  <sheetData>
    <row r="1" ht="18" spans="1:2">
      <c r="A1" s="2" t="s">
        <v>14</v>
      </c>
    </row>
    <row r="2" spans="1:2">
      <c r="A2" s="3" t="s">
        <v>15</v>
      </c>
    </row>
    <row r="3" spans="1:2">
      <c r="A3" s="20" t="s">
        <v>16</v>
      </c>
      <c r="B3" s="20" t="s">
        <v>17</v>
      </c>
    </row>
    <row r="4" spans="1:2">
      <c r="A4" s="21" t="s">
        <v>18</v>
      </c>
      <c r="B4" s="22">
        <v>46317</v>
      </c>
    </row>
    <row r="5" spans="1:2">
      <c r="A5" s="21" t="s">
        <v>19</v>
      </c>
      <c r="B5" s="9" t="s">
        <v>20</v>
      </c>
    </row>
    <row r="6" spans="1:2">
      <c r="A6" s="21" t="s">
        <v>21</v>
      </c>
      <c r="B6" s="9" t="s">
        <v>22</v>
      </c>
    </row>
    <row r="7" spans="1:2">
      <c r="A7" s="21" t="s">
        <v>23</v>
      </c>
      <c r="B7" s="9" t="s">
        <v>24</v>
      </c>
    </row>
    <row r="8" spans="1:2">
      <c r="A8" s="21" t="s">
        <v>25</v>
      </c>
      <c r="B8" s="9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G47"/>
  <sheetViews>
    <sheetView workbookViewId="0">
      <pane ySplit="3" topLeftCell="A16" activePane="bottomLeft" state="frozen"/>
      <selection/>
      <selection pane="bottomLeft" activeCell="G25" sqref="G25"/>
    </sheetView>
  </sheetViews>
  <sheetFormatPr defaultColWidth="8.68181818181818" defaultRowHeight="14.5" outlineLevelCol="6"/>
  <cols>
    <col min="1" max="1" width="16" customWidth="1"/>
    <col min="2" max="2" width="18" customWidth="1"/>
    <col min="3" max="5" width="11" style="17" customWidth="1"/>
    <col min="6" max="6" width="11" customWidth="1"/>
  </cols>
  <sheetData>
    <row r="1" ht="18" spans="1:7">
      <c r="A1" s="2" t="s">
        <v>27</v>
      </c>
    </row>
    <row r="2" spans="1:7">
      <c r="A2" s="3" t="s">
        <v>28</v>
      </c>
    </row>
    <row r="3" ht="30" customHeight="1" spans="1:7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</row>
    <row r="4" spans="1:7">
      <c r="A4" s="9" t="s">
        <v>35</v>
      </c>
      <c r="B4" s="9" t="s">
        <v>36</v>
      </c>
      <c r="C4" s="13">
        <v>4</v>
      </c>
      <c r="D4" s="13">
        <v>4</v>
      </c>
      <c r="E4" s="13">
        <v>4</v>
      </c>
      <c r="F4" s="14">
        <f t="shared" ref="F4:F10" si="0">IF(C4&gt;0,E4/C4,"")</f>
        <v>1</v>
      </c>
    </row>
    <row r="5" spans="1:7">
      <c r="A5" s="9" t="s">
        <v>35</v>
      </c>
      <c r="B5" s="9" t="s">
        <v>37</v>
      </c>
      <c r="C5" s="13">
        <v>7</v>
      </c>
      <c r="D5" s="13">
        <v>7</v>
      </c>
      <c r="E5" s="13">
        <v>7</v>
      </c>
      <c r="F5" s="14">
        <f t="shared" si="0"/>
        <v>1</v>
      </c>
    </row>
    <row r="6" spans="1:7">
      <c r="A6" s="9" t="s">
        <v>35</v>
      </c>
      <c r="B6" s="9" t="s">
        <v>38</v>
      </c>
      <c r="C6" s="13">
        <v>3</v>
      </c>
      <c r="D6" s="13">
        <v>3</v>
      </c>
      <c r="E6" s="13">
        <v>3</v>
      </c>
      <c r="F6" s="14">
        <f t="shared" si="0"/>
        <v>1</v>
      </c>
    </row>
    <row r="7" spans="1:7">
      <c r="A7" s="9" t="s">
        <v>35</v>
      </c>
      <c r="B7" s="9" t="s">
        <v>39</v>
      </c>
      <c r="C7" s="13">
        <v>7</v>
      </c>
      <c r="D7" s="13">
        <v>7</v>
      </c>
      <c r="E7" s="13">
        <v>6</v>
      </c>
      <c r="F7" s="14">
        <f t="shared" si="0"/>
        <v>0.857142857142857</v>
      </c>
    </row>
    <row r="8" spans="1:7">
      <c r="A8" s="9" t="s">
        <v>35</v>
      </c>
      <c r="B8" s="9" t="s">
        <v>40</v>
      </c>
      <c r="C8" s="13">
        <v>4</v>
      </c>
      <c r="D8" s="13">
        <v>4</v>
      </c>
      <c r="E8" s="13">
        <v>4</v>
      </c>
      <c r="F8" s="14">
        <f t="shared" si="0"/>
        <v>1</v>
      </c>
    </row>
    <row r="9" spans="1:7">
      <c r="A9" s="9" t="s">
        <v>41</v>
      </c>
      <c r="B9" s="9" t="s">
        <v>42</v>
      </c>
      <c r="C9" s="13">
        <v>8</v>
      </c>
      <c r="D9" s="13">
        <v>8</v>
      </c>
      <c r="E9" s="13">
        <v>8</v>
      </c>
      <c r="F9" s="14">
        <f t="shared" si="0"/>
        <v>1</v>
      </c>
    </row>
    <row r="10" spans="1:7">
      <c r="A10" s="9" t="s">
        <v>41</v>
      </c>
      <c r="B10" s="9" t="s">
        <v>43</v>
      </c>
      <c r="C10" s="13">
        <v>15</v>
      </c>
      <c r="D10" s="13">
        <v>15</v>
      </c>
      <c r="E10" s="13">
        <v>15</v>
      </c>
      <c r="F10" s="14">
        <f t="shared" si="0"/>
        <v>1</v>
      </c>
    </row>
    <row r="11" spans="1:7">
      <c r="A11" s="9" t="s">
        <v>44</v>
      </c>
      <c r="B11" s="9" t="s">
        <v>45</v>
      </c>
      <c r="C11" s="13">
        <v>22</v>
      </c>
      <c r="D11" s="13">
        <v>24</v>
      </c>
      <c r="E11" s="13">
        <v>22</v>
      </c>
      <c r="F11" s="14">
        <f t="shared" ref="F11:F30" si="1">IF(C11&gt;0,E11/C11,"")</f>
        <v>1</v>
      </c>
    </row>
    <row r="12" spans="1:7">
      <c r="A12" s="9" t="s">
        <v>44</v>
      </c>
      <c r="B12" s="9" t="s">
        <v>46</v>
      </c>
      <c r="C12" s="13">
        <v>42</v>
      </c>
      <c r="D12" s="13">
        <v>42</v>
      </c>
      <c r="E12" s="13">
        <v>42</v>
      </c>
      <c r="F12" s="14">
        <f t="shared" si="1"/>
        <v>1</v>
      </c>
    </row>
    <row r="13" spans="1:7">
      <c r="A13" s="9" t="s">
        <v>47</v>
      </c>
      <c r="B13" s="9" t="s">
        <v>48</v>
      </c>
      <c r="C13" s="13">
        <v>13</v>
      </c>
      <c r="D13" s="13">
        <v>13</v>
      </c>
      <c r="E13" s="13">
        <v>13</v>
      </c>
      <c r="F13" s="14">
        <f t="shared" si="1"/>
        <v>1</v>
      </c>
    </row>
    <row r="14" spans="1:7">
      <c r="A14" s="9" t="s">
        <v>49</v>
      </c>
      <c r="B14" s="9" t="s">
        <v>50</v>
      </c>
      <c r="C14" s="13">
        <v>6</v>
      </c>
      <c r="D14" s="13">
        <v>6</v>
      </c>
      <c r="E14" s="13">
        <v>6</v>
      </c>
      <c r="F14" s="14">
        <f t="shared" si="1"/>
        <v>1</v>
      </c>
    </row>
    <row r="15" spans="1:7">
      <c r="A15" s="9" t="s">
        <v>49</v>
      </c>
      <c r="B15" s="9" t="s">
        <v>51</v>
      </c>
      <c r="C15" s="13">
        <v>13</v>
      </c>
      <c r="D15" s="13">
        <v>13</v>
      </c>
      <c r="E15" s="13">
        <v>13</v>
      </c>
      <c r="F15" s="14">
        <f t="shared" si="1"/>
        <v>1</v>
      </c>
    </row>
    <row r="16" ht="15.5" spans="1:7">
      <c r="A16" s="9" t="s">
        <v>52</v>
      </c>
      <c r="B16" s="9" t="s">
        <v>53</v>
      </c>
      <c r="C16" s="13">
        <v>1</v>
      </c>
      <c r="D16" s="13">
        <v>1</v>
      </c>
      <c r="E16" s="13">
        <v>1</v>
      </c>
      <c r="F16" s="14">
        <f t="shared" si="1"/>
        <v>1</v>
      </c>
      <c r="G16" s="19"/>
    </row>
    <row r="17" ht="15.5" spans="1:7">
      <c r="A17" s="9" t="s">
        <v>52</v>
      </c>
      <c r="B17" s="9" t="s">
        <v>54</v>
      </c>
      <c r="C17" s="13">
        <v>2</v>
      </c>
      <c r="D17" s="13">
        <v>2</v>
      </c>
      <c r="E17" s="13">
        <v>2</v>
      </c>
      <c r="F17" s="14">
        <f t="shared" si="1"/>
        <v>1</v>
      </c>
      <c r="G17" s="19"/>
    </row>
    <row r="18" ht="15.5" spans="1:7">
      <c r="A18" s="9" t="s">
        <v>52</v>
      </c>
      <c r="B18" s="9" t="s">
        <v>55</v>
      </c>
      <c r="C18" s="13">
        <v>2</v>
      </c>
      <c r="D18" s="13">
        <v>2</v>
      </c>
      <c r="E18" s="13">
        <v>2</v>
      </c>
      <c r="F18" s="14">
        <f t="shared" si="1"/>
        <v>1</v>
      </c>
      <c r="G18" s="19"/>
    </row>
    <row r="19" ht="15.5" spans="1:7">
      <c r="A19" s="9" t="s">
        <v>52</v>
      </c>
      <c r="B19" s="9" t="s">
        <v>56</v>
      </c>
      <c r="C19" s="13">
        <v>1</v>
      </c>
      <c r="D19" s="13">
        <v>1</v>
      </c>
      <c r="E19" s="13">
        <v>1</v>
      </c>
      <c r="F19" s="14">
        <f t="shared" si="1"/>
        <v>1</v>
      </c>
      <c r="G19" s="19"/>
    </row>
    <row r="20" ht="15.5" spans="1:7">
      <c r="A20" s="9" t="s">
        <v>52</v>
      </c>
      <c r="B20" s="9" t="s">
        <v>57</v>
      </c>
      <c r="C20" s="13">
        <v>2</v>
      </c>
      <c r="D20" s="13">
        <v>2</v>
      </c>
      <c r="E20" s="13">
        <v>2</v>
      </c>
      <c r="F20" s="14">
        <f t="shared" si="1"/>
        <v>1</v>
      </c>
      <c r="G20" s="19"/>
    </row>
    <row r="21" ht="15.5" spans="1:7">
      <c r="A21" s="9" t="s">
        <v>52</v>
      </c>
      <c r="B21" s="9" t="s">
        <v>58</v>
      </c>
      <c r="C21" s="13">
        <v>5</v>
      </c>
      <c r="D21" s="13">
        <v>5</v>
      </c>
      <c r="E21" s="13">
        <v>5</v>
      </c>
      <c r="F21" s="14">
        <f t="shared" si="1"/>
        <v>1</v>
      </c>
      <c r="G21" s="19"/>
    </row>
    <row r="22" ht="15.5" spans="1:7">
      <c r="A22" s="9" t="s">
        <v>52</v>
      </c>
      <c r="B22" s="9" t="s">
        <v>59</v>
      </c>
      <c r="C22" s="13">
        <v>2</v>
      </c>
      <c r="D22" s="13">
        <v>2</v>
      </c>
      <c r="E22" s="13">
        <v>2</v>
      </c>
      <c r="F22" s="14">
        <f t="shared" si="1"/>
        <v>1</v>
      </c>
      <c r="G22" s="19"/>
    </row>
    <row r="23" ht="15.5" spans="1:7">
      <c r="A23" s="9" t="s">
        <v>52</v>
      </c>
      <c r="B23" s="9" t="s">
        <v>60</v>
      </c>
      <c r="C23" s="13">
        <v>1</v>
      </c>
      <c r="D23" s="13">
        <v>1</v>
      </c>
      <c r="E23" s="13">
        <v>1</v>
      </c>
      <c r="F23" s="14">
        <f t="shared" si="1"/>
        <v>1</v>
      </c>
      <c r="G23" s="19"/>
    </row>
    <row r="24" ht="15.5" spans="1:7">
      <c r="A24" s="9" t="s">
        <v>52</v>
      </c>
      <c r="B24" s="9" t="s">
        <v>61</v>
      </c>
      <c r="C24" s="13">
        <v>1</v>
      </c>
      <c r="D24" s="13">
        <v>1</v>
      </c>
      <c r="E24" s="13">
        <v>1</v>
      </c>
      <c r="F24" s="14">
        <f t="shared" si="1"/>
        <v>1</v>
      </c>
      <c r="G24" s="19"/>
    </row>
    <row r="25" ht="15.5" spans="1:7">
      <c r="A25" s="9" t="s">
        <v>52</v>
      </c>
      <c r="B25" s="9" t="s">
        <v>62</v>
      </c>
      <c r="C25" s="13">
        <v>1</v>
      </c>
      <c r="D25" s="13">
        <v>1</v>
      </c>
      <c r="E25" s="13">
        <v>1</v>
      </c>
      <c r="F25" s="14">
        <f t="shared" si="1"/>
        <v>1</v>
      </c>
      <c r="G25" s="19"/>
    </row>
    <row r="26" ht="15.5" spans="1:7">
      <c r="A26" s="9" t="s">
        <v>52</v>
      </c>
      <c r="B26" s="9" t="s">
        <v>63</v>
      </c>
      <c r="C26" s="13">
        <v>1</v>
      </c>
      <c r="D26" s="13">
        <v>1</v>
      </c>
      <c r="E26" s="13">
        <v>1</v>
      </c>
      <c r="F26" s="14">
        <f t="shared" si="1"/>
        <v>1</v>
      </c>
      <c r="G26" s="19"/>
    </row>
    <row r="27" ht="15.5" spans="1:7">
      <c r="A27" s="9" t="s">
        <v>52</v>
      </c>
      <c r="B27" s="9" t="s">
        <v>64</v>
      </c>
      <c r="C27" s="13">
        <v>3</v>
      </c>
      <c r="D27" s="13">
        <v>3</v>
      </c>
      <c r="E27" s="13">
        <v>3</v>
      </c>
      <c r="F27" s="14">
        <f t="shared" si="1"/>
        <v>1</v>
      </c>
      <c r="G27" s="19"/>
    </row>
    <row r="28" spans="1:7">
      <c r="A28" s="9"/>
      <c r="B28" s="9"/>
      <c r="C28" s="13"/>
      <c r="D28" s="13"/>
      <c r="E28" s="13"/>
      <c r="F28" s="14" t="str">
        <f t="shared" si="1"/>
        <v/>
      </c>
    </row>
    <row r="29" spans="1:7">
      <c r="A29" s="9"/>
      <c r="B29" s="9"/>
      <c r="C29" s="13"/>
      <c r="D29" s="13"/>
      <c r="E29" s="13"/>
      <c r="F29" s="14" t="str">
        <f t="shared" si="1"/>
        <v/>
      </c>
    </row>
    <row r="30" spans="1:7">
      <c r="A30" s="9"/>
      <c r="B30" s="9"/>
      <c r="C30" s="13"/>
      <c r="D30" s="13"/>
      <c r="E30" s="13"/>
      <c r="F30" s="14" t="str">
        <f t="shared" si="1"/>
        <v/>
      </c>
    </row>
    <row r="31" spans="1:7">
      <c r="A31" s="9"/>
      <c r="B31" s="9"/>
      <c r="C31" s="13"/>
      <c r="D31" s="13"/>
      <c r="E31" s="13"/>
      <c r="F31" s="14" t="str">
        <f t="shared" ref="F30:F47" si="2">IF(C31&gt;0,E31/C31,"")</f>
        <v/>
      </c>
    </row>
    <row r="32" spans="1:7">
      <c r="A32" s="9"/>
      <c r="B32" s="9"/>
      <c r="C32" s="13"/>
      <c r="D32" s="13"/>
      <c r="E32" s="13"/>
      <c r="F32" s="14" t="str">
        <f t="shared" si="2"/>
        <v/>
      </c>
    </row>
    <row r="33" spans="1:6">
      <c r="A33" s="9"/>
      <c r="B33" s="9"/>
      <c r="C33" s="13"/>
      <c r="D33" s="13"/>
      <c r="E33" s="13"/>
      <c r="F33" s="14" t="str">
        <f t="shared" si="2"/>
        <v/>
      </c>
    </row>
    <row r="34" spans="1:6">
      <c r="A34" s="9"/>
      <c r="B34" s="9"/>
      <c r="C34" s="13"/>
      <c r="D34" s="13"/>
      <c r="E34" s="13"/>
      <c r="F34" s="14" t="str">
        <f t="shared" si="2"/>
        <v/>
      </c>
    </row>
    <row r="35" spans="1:6">
      <c r="A35" s="9"/>
      <c r="B35" s="9"/>
      <c r="C35" s="13"/>
      <c r="D35" s="13"/>
      <c r="E35" s="13"/>
      <c r="F35" s="14" t="str">
        <f t="shared" si="2"/>
        <v/>
      </c>
    </row>
    <row r="36" spans="1:6">
      <c r="A36" s="9"/>
      <c r="B36" s="9"/>
      <c r="C36" s="13"/>
      <c r="D36" s="13"/>
      <c r="E36" s="13"/>
      <c r="F36" s="14" t="str">
        <f t="shared" si="2"/>
        <v/>
      </c>
    </row>
    <row r="37" spans="1:6">
      <c r="A37" s="9"/>
      <c r="B37" s="9"/>
      <c r="C37" s="13"/>
      <c r="D37" s="13"/>
      <c r="E37" s="13"/>
      <c r="F37" s="14" t="str">
        <f t="shared" si="2"/>
        <v/>
      </c>
    </row>
    <row r="38" spans="1:6">
      <c r="A38" s="9"/>
      <c r="B38" s="9"/>
      <c r="C38" s="13"/>
      <c r="D38" s="13"/>
      <c r="E38" s="13"/>
      <c r="F38" s="14" t="str">
        <f t="shared" si="2"/>
        <v/>
      </c>
    </row>
    <row r="39" spans="1:6">
      <c r="A39" s="9"/>
      <c r="B39" s="9"/>
      <c r="C39" s="13"/>
      <c r="D39" s="13"/>
      <c r="E39" s="13"/>
      <c r="F39" s="14" t="str">
        <f t="shared" si="2"/>
        <v/>
      </c>
    </row>
    <row r="40" spans="1:6">
      <c r="A40" s="9"/>
      <c r="B40" s="9"/>
      <c r="C40" s="13"/>
      <c r="D40" s="13"/>
      <c r="E40" s="13"/>
      <c r="F40" s="14" t="str">
        <f t="shared" si="2"/>
        <v/>
      </c>
    </row>
    <row r="41" spans="1:6">
      <c r="A41" s="9"/>
      <c r="B41" s="9"/>
      <c r="C41" s="13"/>
      <c r="D41" s="13"/>
      <c r="E41" s="13"/>
      <c r="F41" s="14" t="str">
        <f t="shared" si="2"/>
        <v/>
      </c>
    </row>
    <row r="42" spans="1:6">
      <c r="A42" s="9"/>
      <c r="B42" s="9"/>
      <c r="C42" s="13"/>
      <c r="D42" s="13"/>
      <c r="E42" s="13"/>
      <c r="F42" s="14" t="str">
        <f t="shared" si="2"/>
        <v/>
      </c>
    </row>
    <row r="43" spans="1:6">
      <c r="A43" s="9"/>
      <c r="B43" s="9"/>
      <c r="C43" s="13"/>
      <c r="D43" s="13"/>
      <c r="E43" s="13"/>
      <c r="F43" s="14" t="str">
        <f t="shared" si="2"/>
        <v/>
      </c>
    </row>
    <row r="44" spans="1:6">
      <c r="A44" s="9"/>
      <c r="B44" s="9"/>
      <c r="C44" s="13"/>
      <c r="D44" s="13"/>
      <c r="E44" s="13"/>
      <c r="F44" s="14" t="str">
        <f t="shared" si="2"/>
        <v/>
      </c>
    </row>
    <row r="45" spans="1:6">
      <c r="A45" s="9"/>
      <c r="B45" s="9"/>
      <c r="C45" s="13"/>
      <c r="D45" s="13"/>
      <c r="E45" s="13"/>
      <c r="F45" s="14" t="str">
        <f t="shared" si="2"/>
        <v/>
      </c>
    </row>
    <row r="46" spans="1:6">
      <c r="A46" s="9"/>
      <c r="B46" s="9"/>
      <c r="C46" s="13"/>
      <c r="D46" s="13"/>
      <c r="E46" s="13"/>
      <c r="F46" s="14" t="str">
        <f t="shared" si="2"/>
        <v/>
      </c>
    </row>
    <row r="47" spans="1:6">
      <c r="A47" s="9"/>
      <c r="B47" s="9"/>
      <c r="C47" s="13"/>
      <c r="D47" s="13"/>
      <c r="E47" s="13"/>
      <c r="F47" s="14" t="str">
        <f t="shared" si="2"/>
        <v/>
      </c>
    </row>
  </sheetData>
  <dataValidations count="2">
    <dataValidation type="list" allowBlank="1" error="Pick a value from the list" sqref="A4:A47">
      <formula1>"P1~3,P4~5,P6,P7,P8,P9-Non Priority"</formula1>
    </dataValidation>
    <dataValidation type="decimal" operator="between" allowBlank="1" showErrorMessage="1" error="Numbers only" sqref="C4:E47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B4" sqref="B4:C15"/>
    </sheetView>
  </sheetViews>
  <sheetFormatPr defaultColWidth="8.68181818181818" defaultRowHeight="14.5" outlineLevelCol="3"/>
  <cols>
    <col min="1" max="1" width="16" customWidth="1"/>
    <col min="2" max="4" width="10" style="17" customWidth="1"/>
  </cols>
  <sheetData>
    <row r="1" ht="18" spans="1:4">
      <c r="A1" s="2" t="s">
        <v>65</v>
      </c>
    </row>
    <row r="2" spans="1:4">
      <c r="A2" s="3" t="s">
        <v>66</v>
      </c>
    </row>
    <row r="3" ht="30" customHeight="1" spans="1:4">
      <c r="A3" s="4" t="s">
        <v>67</v>
      </c>
      <c r="B3" s="4" t="s">
        <v>68</v>
      </c>
      <c r="C3" s="4" t="s">
        <v>69</v>
      </c>
      <c r="D3" s="4" t="s">
        <v>70</v>
      </c>
    </row>
    <row r="4" spans="1:4">
      <c r="A4" s="9" t="s">
        <v>45</v>
      </c>
      <c r="B4" s="13">
        <v>4</v>
      </c>
      <c r="C4" s="13">
        <v>0</v>
      </c>
      <c r="D4" s="18">
        <f t="shared" ref="D4:D28" si="0">IF(A4="","",B4+C4)</f>
        <v>4</v>
      </c>
    </row>
    <row r="5" spans="1:4">
      <c r="A5" s="9" t="s">
        <v>46</v>
      </c>
      <c r="B5" s="13">
        <v>8</v>
      </c>
      <c r="C5" s="13">
        <v>0</v>
      </c>
      <c r="D5" s="18">
        <f t="shared" si="0"/>
        <v>8</v>
      </c>
    </row>
    <row r="6" spans="1:4">
      <c r="A6" s="9" t="s">
        <v>54</v>
      </c>
      <c r="B6" s="13">
        <v>2</v>
      </c>
      <c r="C6" s="13">
        <v>0</v>
      </c>
      <c r="D6" s="18">
        <f t="shared" si="0"/>
        <v>2</v>
      </c>
    </row>
    <row r="7" spans="1:4">
      <c r="A7" s="9" t="s">
        <v>50</v>
      </c>
      <c r="B7" s="13">
        <v>1</v>
      </c>
      <c r="C7" s="13">
        <v>0</v>
      </c>
      <c r="D7" s="18">
        <f t="shared" si="0"/>
        <v>1</v>
      </c>
    </row>
    <row r="8" spans="1:4">
      <c r="A8" s="9" t="s">
        <v>37</v>
      </c>
      <c r="B8" s="13">
        <v>3</v>
      </c>
      <c r="C8" s="13">
        <v>2</v>
      </c>
      <c r="D8" s="18">
        <f t="shared" si="0"/>
        <v>5</v>
      </c>
    </row>
    <row r="9" spans="1:4">
      <c r="A9" s="9" t="s">
        <v>38</v>
      </c>
      <c r="B9" s="13">
        <v>2</v>
      </c>
      <c r="C9" s="13">
        <v>1</v>
      </c>
      <c r="D9" s="18">
        <f t="shared" si="0"/>
        <v>3</v>
      </c>
    </row>
    <row r="10" spans="1:4">
      <c r="A10" s="9" t="s">
        <v>48</v>
      </c>
      <c r="B10" s="13">
        <v>0</v>
      </c>
      <c r="C10" s="13">
        <v>1</v>
      </c>
      <c r="D10" s="18">
        <f t="shared" si="0"/>
        <v>1</v>
      </c>
    </row>
    <row r="11" spans="1:4">
      <c r="A11" s="9" t="s">
        <v>55</v>
      </c>
      <c r="B11" s="13">
        <v>2</v>
      </c>
      <c r="C11" s="13">
        <v>0</v>
      </c>
      <c r="D11" s="18">
        <f t="shared" si="0"/>
        <v>2</v>
      </c>
    </row>
    <row r="12" spans="1:4">
      <c r="A12" s="9" t="s">
        <v>42</v>
      </c>
      <c r="B12" s="13">
        <v>0</v>
      </c>
      <c r="C12" s="13">
        <v>1</v>
      </c>
      <c r="D12" s="18">
        <f t="shared" si="0"/>
        <v>1</v>
      </c>
    </row>
    <row r="13" spans="1:4">
      <c r="A13" s="9" t="s">
        <v>43</v>
      </c>
      <c r="B13" s="13">
        <v>4</v>
      </c>
      <c r="C13" s="13">
        <v>2</v>
      </c>
      <c r="D13" s="18">
        <f t="shared" si="0"/>
        <v>6</v>
      </c>
    </row>
    <row r="14" spans="1:4">
      <c r="A14" s="9" t="s">
        <v>39</v>
      </c>
      <c r="B14" s="13">
        <v>1</v>
      </c>
      <c r="C14" s="13">
        <v>0</v>
      </c>
      <c r="D14" s="18">
        <f t="shared" si="0"/>
        <v>1</v>
      </c>
    </row>
    <row r="15" spans="1:4">
      <c r="A15" s="9" t="s">
        <v>59</v>
      </c>
      <c r="B15" s="13">
        <v>2</v>
      </c>
      <c r="C15" s="13">
        <v>0</v>
      </c>
      <c r="D15" s="18">
        <f t="shared" si="0"/>
        <v>2</v>
      </c>
    </row>
    <row r="16" spans="1:4">
      <c r="A16" s="9"/>
      <c r="B16" s="13"/>
      <c r="C16" s="13"/>
      <c r="D16" s="18" t="str">
        <f t="shared" si="0"/>
        <v/>
      </c>
    </row>
    <row r="17" spans="1:4">
      <c r="A17" s="9"/>
      <c r="B17" s="13"/>
      <c r="C17" s="13"/>
      <c r="D17" s="18" t="str">
        <f t="shared" si="0"/>
        <v/>
      </c>
    </row>
    <row r="18" spans="1:4">
      <c r="A18" s="9"/>
      <c r="B18" s="13"/>
      <c r="C18" s="13"/>
      <c r="D18" s="18" t="str">
        <f t="shared" si="0"/>
        <v/>
      </c>
    </row>
    <row r="19" spans="1:4">
      <c r="A19" s="9"/>
      <c r="B19" s="13"/>
      <c r="C19" s="13"/>
      <c r="D19" s="18" t="str">
        <f t="shared" si="0"/>
        <v/>
      </c>
    </row>
    <row r="20" spans="1:4">
      <c r="A20" s="9"/>
      <c r="B20" s="13"/>
      <c r="C20" s="13"/>
      <c r="D20" s="18" t="str">
        <f t="shared" si="0"/>
        <v/>
      </c>
    </row>
    <row r="21" spans="1:4">
      <c r="A21" s="9"/>
      <c r="B21" s="13"/>
      <c r="C21" s="13"/>
      <c r="D21" s="18" t="str">
        <f t="shared" si="0"/>
        <v/>
      </c>
    </row>
    <row r="22" spans="1:4">
      <c r="A22" s="9"/>
      <c r="B22" s="13"/>
      <c r="C22" s="13"/>
      <c r="D22" s="18" t="str">
        <f t="shared" si="0"/>
        <v/>
      </c>
    </row>
    <row r="23" spans="1:4">
      <c r="A23" s="9"/>
      <c r="B23" s="13"/>
      <c r="C23" s="13"/>
      <c r="D23" s="18" t="str">
        <f t="shared" si="0"/>
        <v/>
      </c>
    </row>
    <row r="24" spans="1:4">
      <c r="A24" s="9"/>
      <c r="B24" s="13"/>
      <c r="C24" s="13"/>
      <c r="D24" s="18" t="str">
        <f t="shared" si="0"/>
        <v/>
      </c>
    </row>
    <row r="25" spans="1:4">
      <c r="A25" s="9"/>
      <c r="B25" s="13"/>
      <c r="C25" s="13"/>
      <c r="D25" s="18" t="str">
        <f t="shared" si="0"/>
        <v/>
      </c>
    </row>
    <row r="26" spans="1:4">
      <c r="A26" s="9"/>
      <c r="B26" s="13"/>
      <c r="C26" s="13"/>
      <c r="D26" s="18" t="str">
        <f t="shared" si="0"/>
        <v/>
      </c>
    </row>
    <row r="27" spans="1:4">
      <c r="A27" s="9"/>
      <c r="B27" s="13"/>
      <c r="C27" s="13"/>
      <c r="D27" s="18" t="str">
        <f t="shared" si="0"/>
        <v/>
      </c>
    </row>
    <row r="28" spans="1:4">
      <c r="A28" s="9"/>
      <c r="B28" s="13"/>
      <c r="C28" s="13"/>
      <c r="D28" s="18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E17" sqref="E17"/>
    </sheetView>
  </sheetViews>
  <sheetFormatPr defaultColWidth="8.68181818181818" defaultRowHeight="14.5" outlineLevelCol="3"/>
  <cols>
    <col min="1" max="1" width="12" customWidth="1"/>
    <col min="2" max="4" width="11" customWidth="1"/>
  </cols>
  <sheetData>
    <row r="1" ht="18" spans="1:4">
      <c r="A1" s="2" t="s">
        <v>71</v>
      </c>
    </row>
    <row r="2" spans="1:4">
      <c r="A2" s="3" t="s">
        <v>72</v>
      </c>
    </row>
    <row r="3" ht="30" customHeight="1" spans="1:4">
      <c r="A3" s="4" t="s">
        <v>73</v>
      </c>
      <c r="B3" s="4" t="s">
        <v>31</v>
      </c>
      <c r="C3" s="4" t="s">
        <v>33</v>
      </c>
      <c r="D3" s="4" t="s">
        <v>34</v>
      </c>
    </row>
    <row r="4" spans="1:4">
      <c r="A4" s="9" t="s">
        <v>74</v>
      </c>
      <c r="B4" s="13">
        <v>166</v>
      </c>
      <c r="C4" s="13">
        <v>165</v>
      </c>
      <c r="D4" s="16">
        <f t="shared" ref="D4:D28" si="0">IF(B4&gt;0,C4/B4,"")</f>
        <v>0.993975903614458</v>
      </c>
    </row>
    <row r="5" spans="1:4">
      <c r="A5" s="9" t="s">
        <v>75</v>
      </c>
      <c r="B5" s="13">
        <v>15</v>
      </c>
      <c r="C5" s="13">
        <v>15</v>
      </c>
      <c r="D5" s="16">
        <f t="shared" si="0"/>
        <v>1</v>
      </c>
    </row>
    <row r="6" spans="1:4">
      <c r="A6" s="9" t="s">
        <v>76</v>
      </c>
      <c r="B6" s="13">
        <v>6</v>
      </c>
      <c r="C6" s="13">
        <v>5</v>
      </c>
      <c r="D6" s="16">
        <f t="shared" si="0"/>
        <v>0.833333333333333</v>
      </c>
    </row>
    <row r="7" spans="1:4">
      <c r="A7" s="9" t="s">
        <v>77</v>
      </c>
      <c r="B7" s="13">
        <v>57</v>
      </c>
      <c r="C7" s="13">
        <v>57</v>
      </c>
      <c r="D7" s="16">
        <f t="shared" si="0"/>
        <v>1</v>
      </c>
    </row>
    <row r="8" spans="1:4">
      <c r="A8" s="9" t="s">
        <v>78</v>
      </c>
      <c r="B8" s="13">
        <v>11</v>
      </c>
      <c r="C8" s="13">
        <v>10</v>
      </c>
      <c r="D8" s="16">
        <f t="shared" si="0"/>
        <v>0.909090909090909</v>
      </c>
    </row>
    <row r="9" spans="1:4">
      <c r="A9" s="9" t="s">
        <v>79</v>
      </c>
      <c r="B9" s="13">
        <v>3</v>
      </c>
      <c r="C9" s="13">
        <v>3</v>
      </c>
      <c r="D9" s="16">
        <f t="shared" si="0"/>
        <v>1</v>
      </c>
    </row>
    <row r="10" spans="1:4">
      <c r="A10" s="9" t="s">
        <v>80</v>
      </c>
      <c r="B10" s="13">
        <v>11</v>
      </c>
      <c r="C10" s="13">
        <v>11</v>
      </c>
      <c r="D10" s="16">
        <f t="shared" si="0"/>
        <v>1</v>
      </c>
    </row>
    <row r="11" spans="1:4">
      <c r="A11" s="9" t="s">
        <v>81</v>
      </c>
      <c r="B11" s="13">
        <v>6</v>
      </c>
      <c r="C11" s="13">
        <v>6</v>
      </c>
      <c r="D11" s="16">
        <f t="shared" si="0"/>
        <v>1</v>
      </c>
    </row>
    <row r="12" spans="1:4">
      <c r="A12" s="9" t="s">
        <v>82</v>
      </c>
      <c r="B12" s="13">
        <v>3</v>
      </c>
      <c r="C12" s="13">
        <v>3</v>
      </c>
      <c r="D12" s="16">
        <f t="shared" si="0"/>
        <v>1</v>
      </c>
    </row>
    <row r="13" spans="1:4">
      <c r="A13" s="9"/>
      <c r="B13" s="10"/>
      <c r="C13" s="10"/>
      <c r="D13" s="14" t="str">
        <f t="shared" si="0"/>
        <v/>
      </c>
    </row>
    <row r="14" spans="1:4">
      <c r="A14" s="9"/>
      <c r="B14" s="10"/>
      <c r="C14" s="10"/>
      <c r="D14" s="14" t="str">
        <f t="shared" si="0"/>
        <v/>
      </c>
    </row>
    <row r="15" spans="1:4">
      <c r="A15" s="9"/>
      <c r="B15" s="10"/>
      <c r="C15" s="10"/>
      <c r="D15" s="14" t="str">
        <f t="shared" si="0"/>
        <v/>
      </c>
    </row>
    <row r="16" spans="1:4">
      <c r="A16" s="9"/>
      <c r="B16" s="10"/>
      <c r="C16" s="10"/>
      <c r="D16" s="14" t="str">
        <f t="shared" si="0"/>
        <v/>
      </c>
    </row>
    <row r="17" spans="1:4">
      <c r="A17" s="9"/>
      <c r="B17" s="10"/>
      <c r="C17" s="10"/>
      <c r="D17" s="14" t="str">
        <f t="shared" si="0"/>
        <v/>
      </c>
    </row>
    <row r="18" spans="1:4">
      <c r="A18" s="9"/>
      <c r="B18" s="10"/>
      <c r="C18" s="10"/>
      <c r="D18" s="14" t="str">
        <f t="shared" si="0"/>
        <v/>
      </c>
    </row>
    <row r="19" spans="1:4">
      <c r="A19" s="9"/>
      <c r="B19" s="10"/>
      <c r="C19" s="10"/>
      <c r="D19" s="14" t="str">
        <f t="shared" si="0"/>
        <v/>
      </c>
    </row>
    <row r="20" spans="1:4">
      <c r="A20" s="9"/>
      <c r="B20" s="10"/>
      <c r="C20" s="10"/>
      <c r="D20" s="14" t="str">
        <f t="shared" si="0"/>
        <v/>
      </c>
    </row>
    <row r="21" spans="1:4">
      <c r="A21" s="9"/>
      <c r="B21" s="10"/>
      <c r="C21" s="10"/>
      <c r="D21" s="14" t="str">
        <f t="shared" si="0"/>
        <v/>
      </c>
    </row>
    <row r="22" spans="1:4">
      <c r="A22" s="9"/>
      <c r="B22" s="10"/>
      <c r="C22" s="10"/>
      <c r="D22" s="14" t="str">
        <f t="shared" si="0"/>
        <v/>
      </c>
    </row>
    <row r="23" spans="1:4">
      <c r="A23" s="9"/>
      <c r="B23" s="10"/>
      <c r="C23" s="10"/>
      <c r="D23" s="14" t="str">
        <f t="shared" si="0"/>
        <v/>
      </c>
    </row>
    <row r="24" spans="1:4">
      <c r="A24" s="9"/>
      <c r="B24" s="10"/>
      <c r="C24" s="10"/>
      <c r="D24" s="14" t="str">
        <f t="shared" si="0"/>
        <v/>
      </c>
    </row>
    <row r="25" spans="1:4">
      <c r="A25" s="9"/>
      <c r="B25" s="10"/>
      <c r="C25" s="10"/>
      <c r="D25" s="14" t="str">
        <f t="shared" si="0"/>
        <v/>
      </c>
    </row>
    <row r="26" spans="1:4">
      <c r="A26" s="9"/>
      <c r="B26" s="10"/>
      <c r="C26" s="10"/>
      <c r="D26" s="14" t="str">
        <f t="shared" si="0"/>
        <v/>
      </c>
    </row>
    <row r="27" spans="1:4">
      <c r="A27" s="9"/>
      <c r="B27" s="10"/>
      <c r="C27" s="10"/>
      <c r="D27" s="14" t="str">
        <f t="shared" si="0"/>
        <v/>
      </c>
    </row>
    <row r="28" spans="1:4">
      <c r="A28" s="9"/>
      <c r="B28" s="10"/>
      <c r="C28" s="10"/>
      <c r="D28" s="14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8"/>
  <sheetViews>
    <sheetView workbookViewId="0">
      <pane ySplit="3" topLeftCell="A4" activePane="bottomLeft" state="frozen"/>
      <selection/>
      <selection pane="bottomLeft" activeCell="D7" sqref="D7"/>
    </sheetView>
  </sheetViews>
  <sheetFormatPr defaultColWidth="8.68181818181818" defaultRowHeight="14.5" outlineLevelRow="7" outlineLevelCol="1"/>
  <cols>
    <col min="1" max="1" width="30" customWidth="1"/>
    <col min="2" max="2" width="10" customWidth="1"/>
  </cols>
  <sheetData>
    <row r="1" ht="18" spans="1:2">
      <c r="A1" s="2" t="s">
        <v>83</v>
      </c>
    </row>
    <row r="2" spans="1:2">
      <c r="A2" s="3" t="s">
        <v>84</v>
      </c>
    </row>
    <row r="3" ht="30" customHeight="1" spans="1:2">
      <c r="A3" s="4" t="s">
        <v>16</v>
      </c>
      <c r="B3" s="4" t="s">
        <v>85</v>
      </c>
    </row>
    <row r="4" spans="1:2">
      <c r="A4" s="9" t="s">
        <v>86</v>
      </c>
      <c r="B4" s="10">
        <v>3</v>
      </c>
    </row>
    <row r="5" spans="1:2">
      <c r="A5" s="9" t="s">
        <v>87</v>
      </c>
      <c r="B5" s="10">
        <v>4</v>
      </c>
    </row>
    <row r="6" spans="1:2">
      <c r="A6" s="9" t="s">
        <v>88</v>
      </c>
      <c r="B6" s="10">
        <v>-1</v>
      </c>
    </row>
    <row r="7" spans="1:2">
      <c r="A7" s="9" t="s">
        <v>89</v>
      </c>
      <c r="B7" s="10">
        <v>36</v>
      </c>
    </row>
    <row r="8" spans="1:2">
      <c r="A8" s="9" t="s">
        <v>90</v>
      </c>
      <c r="B8" s="10">
        <v>129</v>
      </c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B4" sqref="B4:F11"/>
    </sheetView>
  </sheetViews>
  <sheetFormatPr defaultColWidth="8.68181818181818" defaultRowHeight="14.5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8" spans="1:6">
      <c r="A1" s="2" t="s">
        <v>91</v>
      </c>
    </row>
    <row r="2" spans="1:6">
      <c r="A2" s="3" t="s">
        <v>92</v>
      </c>
    </row>
    <row r="3" ht="30" customHeight="1" spans="1:6">
      <c r="A3" s="4" t="s">
        <v>93</v>
      </c>
      <c r="B3" s="4" t="s">
        <v>30</v>
      </c>
      <c r="C3" s="4" t="s">
        <v>94</v>
      </c>
      <c r="D3" s="4" t="s">
        <v>95</v>
      </c>
      <c r="E3" s="4" t="s">
        <v>96</v>
      </c>
      <c r="F3" s="4" t="s">
        <v>97</v>
      </c>
    </row>
    <row r="4" spans="1:6">
      <c r="A4" s="9" t="s">
        <v>98</v>
      </c>
      <c r="B4" s="9">
        <v>6</v>
      </c>
      <c r="C4" s="9">
        <v>6</v>
      </c>
      <c r="D4" s="9">
        <v>12</v>
      </c>
      <c r="E4" s="9">
        <v>10</v>
      </c>
      <c r="F4" s="9">
        <v>2</v>
      </c>
    </row>
    <row r="5" spans="1:6">
      <c r="A5" s="9" t="s">
        <v>99</v>
      </c>
      <c r="B5" s="9">
        <v>7</v>
      </c>
      <c r="C5" s="9">
        <v>7</v>
      </c>
      <c r="D5" s="9">
        <v>10</v>
      </c>
      <c r="E5" s="9">
        <v>15</v>
      </c>
      <c r="F5" s="9">
        <v>4</v>
      </c>
    </row>
    <row r="6" spans="1:6">
      <c r="A6" s="9" t="s">
        <v>100</v>
      </c>
      <c r="B6" s="9">
        <v>3</v>
      </c>
      <c r="C6" s="9">
        <v>3</v>
      </c>
      <c r="D6" s="9">
        <v>2</v>
      </c>
      <c r="E6" s="9">
        <v>6</v>
      </c>
      <c r="F6" s="9">
        <v>0</v>
      </c>
    </row>
    <row r="7" spans="1:6">
      <c r="A7" s="9" t="s">
        <v>101</v>
      </c>
      <c r="B7" s="9">
        <v>2</v>
      </c>
      <c r="C7" s="9">
        <v>2</v>
      </c>
      <c r="D7" s="9">
        <v>0</v>
      </c>
      <c r="E7" s="9">
        <v>0</v>
      </c>
      <c r="F7" s="9">
        <v>0</v>
      </c>
    </row>
    <row r="8" spans="1:6">
      <c r="A8" s="9" t="s">
        <v>75</v>
      </c>
      <c r="B8" s="9">
        <v>2</v>
      </c>
      <c r="C8" s="9">
        <v>2</v>
      </c>
      <c r="D8" s="9">
        <v>0</v>
      </c>
      <c r="E8" s="9">
        <v>13</v>
      </c>
      <c r="F8" s="9">
        <v>0</v>
      </c>
    </row>
    <row r="9" spans="1:6">
      <c r="A9" s="9" t="s">
        <v>82</v>
      </c>
      <c r="B9" s="9">
        <v>1</v>
      </c>
      <c r="C9" s="9">
        <v>1</v>
      </c>
      <c r="D9" s="9">
        <v>0</v>
      </c>
      <c r="E9" s="9">
        <v>1</v>
      </c>
      <c r="F9" s="9">
        <v>0</v>
      </c>
    </row>
    <row r="10" spans="1:6">
      <c r="A10" s="9" t="s">
        <v>76</v>
      </c>
      <c r="B10" s="9">
        <v>1</v>
      </c>
      <c r="C10" s="9">
        <v>1</v>
      </c>
      <c r="D10" s="9">
        <v>0</v>
      </c>
      <c r="E10" s="9">
        <v>13</v>
      </c>
      <c r="F10" s="9">
        <v>0</v>
      </c>
    </row>
    <row r="11" spans="1:6">
      <c r="A11" s="9" t="s">
        <v>79</v>
      </c>
      <c r="B11" s="9">
        <v>1</v>
      </c>
      <c r="C11" s="9">
        <v>1</v>
      </c>
      <c r="D11" s="9">
        <v>0</v>
      </c>
      <c r="E11" s="9">
        <v>2</v>
      </c>
      <c r="F11" s="9">
        <v>0</v>
      </c>
    </row>
    <row r="12" spans="1:6">
      <c r="A12" s="9"/>
      <c r="B12" s="10"/>
      <c r="C12" s="10"/>
      <c r="D12" s="10"/>
      <c r="E12" s="10"/>
      <c r="F12" s="10"/>
    </row>
    <row r="13" spans="1:6">
      <c r="A13" s="9"/>
      <c r="B13" s="10"/>
      <c r="C13" s="10"/>
      <c r="D13" s="10"/>
      <c r="E13" s="10"/>
      <c r="F13" s="10"/>
    </row>
    <row r="14" spans="1:6">
      <c r="A14" s="9"/>
      <c r="B14" s="10"/>
      <c r="C14" s="10"/>
      <c r="D14" s="10"/>
      <c r="E14" s="10"/>
      <c r="F14" s="10"/>
    </row>
    <row r="15" spans="1:6">
      <c r="A15" s="9"/>
      <c r="B15" s="10"/>
      <c r="C15" s="10"/>
      <c r="D15" s="10"/>
      <c r="E15" s="10"/>
      <c r="F15" s="10"/>
    </row>
    <row r="16" spans="1:6">
      <c r="A16" s="9"/>
      <c r="B16" s="10"/>
      <c r="C16" s="10"/>
      <c r="D16" s="10"/>
      <c r="E16" s="10"/>
      <c r="F16" s="10"/>
    </row>
    <row r="17" spans="1:6">
      <c r="A17" s="9"/>
      <c r="B17" s="10"/>
      <c r="C17" s="10"/>
      <c r="D17" s="10"/>
      <c r="E17" s="10"/>
      <c r="F17" s="10"/>
    </row>
    <row r="18" spans="1:6">
      <c r="A18" s="9"/>
      <c r="B18" s="10"/>
      <c r="C18" s="10"/>
      <c r="D18" s="10"/>
      <c r="E18" s="10"/>
      <c r="F18" s="10"/>
    </row>
    <row r="19" spans="1:6">
      <c r="A19" s="9"/>
      <c r="B19" s="10"/>
      <c r="C19" s="10"/>
      <c r="D19" s="10"/>
      <c r="E19" s="10"/>
      <c r="F19" s="10"/>
    </row>
    <row r="20" spans="1:6">
      <c r="A20" s="9"/>
      <c r="B20" s="10"/>
      <c r="C20" s="10"/>
      <c r="D20" s="10"/>
      <c r="E20" s="10"/>
      <c r="F20" s="10"/>
    </row>
    <row r="21" spans="1:6">
      <c r="A21" s="9"/>
      <c r="B21" s="10"/>
      <c r="C21" s="10"/>
      <c r="D21" s="10"/>
      <c r="E21" s="10"/>
      <c r="F21" s="10"/>
    </row>
    <row r="22" spans="1:6">
      <c r="A22" s="9"/>
      <c r="B22" s="10"/>
      <c r="C22" s="10"/>
      <c r="D22" s="10"/>
      <c r="E22" s="10"/>
      <c r="F22" s="10"/>
    </row>
    <row r="23" spans="1:6">
      <c r="A23" s="9"/>
      <c r="B23" s="10"/>
      <c r="C23" s="10"/>
      <c r="D23" s="10"/>
      <c r="E23" s="10"/>
      <c r="F23" s="10"/>
    </row>
  </sheetData>
  <dataValidations count="1">
    <dataValidation type="decimal" operator="between" allowBlank="1" showErrorMessage="1" error="Numbers only" sqref="B12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D13" sqref="D13"/>
    </sheetView>
  </sheetViews>
  <sheetFormatPr defaultColWidth="8.68181818181818" defaultRowHeight="14.5"/>
  <cols>
    <col min="1" max="1" width="9" customWidth="1"/>
    <col min="2" max="2" width="12" customWidth="1"/>
    <col min="3" max="3" width="10" customWidth="1"/>
    <col min="4" max="5" width="11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8" spans="1:11">
      <c r="A1" s="2" t="s">
        <v>102</v>
      </c>
    </row>
    <row r="2" spans="1:11">
      <c r="A2" s="3" t="s">
        <v>103</v>
      </c>
    </row>
    <row r="3" ht="30" customHeight="1" spans="1:11">
      <c r="A3" s="4" t="s">
        <v>104</v>
      </c>
      <c r="B3" s="4" t="s">
        <v>105</v>
      </c>
      <c r="C3" s="4" t="s">
        <v>93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111</v>
      </c>
      <c r="J3" s="4" t="s">
        <v>112</v>
      </c>
      <c r="K3" s="4" t="s">
        <v>113</v>
      </c>
    </row>
    <row r="4" ht="41" spans="1:11">
      <c r="A4" s="9" t="s">
        <v>114</v>
      </c>
      <c r="B4" s="12">
        <v>46316</v>
      </c>
      <c r="C4" s="9" t="s">
        <v>115</v>
      </c>
      <c r="D4" s="9" t="s">
        <v>116</v>
      </c>
      <c r="E4" s="9" t="s">
        <v>117</v>
      </c>
      <c r="F4" s="11" t="s">
        <v>118</v>
      </c>
      <c r="G4" s="10">
        <v>1</v>
      </c>
      <c r="H4" s="10">
        <v>1</v>
      </c>
      <c r="I4" s="10">
        <v>0</v>
      </c>
      <c r="J4" s="10">
        <v>0</v>
      </c>
      <c r="K4" s="10">
        <v>0</v>
      </c>
    </row>
    <row r="5" ht="41" spans="1:11">
      <c r="A5" s="9" t="s">
        <v>114</v>
      </c>
      <c r="B5" s="12">
        <v>46316</v>
      </c>
      <c r="C5" s="9" t="s">
        <v>119</v>
      </c>
      <c r="D5" s="9" t="s">
        <v>120</v>
      </c>
      <c r="E5" s="9" t="s">
        <v>117</v>
      </c>
      <c r="F5" s="11" t="s">
        <v>121</v>
      </c>
      <c r="G5" s="10">
        <v>1</v>
      </c>
      <c r="H5" s="10">
        <v>1</v>
      </c>
      <c r="I5" s="10">
        <v>0</v>
      </c>
      <c r="J5" s="10">
        <v>0</v>
      </c>
      <c r="K5" s="10">
        <v>0</v>
      </c>
    </row>
    <row r="6" ht="41" spans="1:11">
      <c r="A6" s="9" t="s">
        <v>114</v>
      </c>
      <c r="B6" s="12">
        <v>46316</v>
      </c>
      <c r="C6" s="9" t="s">
        <v>115</v>
      </c>
      <c r="D6" s="9" t="s">
        <v>122</v>
      </c>
      <c r="E6" s="9" t="s">
        <v>123</v>
      </c>
      <c r="F6" s="11" t="s">
        <v>124</v>
      </c>
      <c r="G6" s="10">
        <v>1</v>
      </c>
      <c r="H6" s="10">
        <v>1</v>
      </c>
      <c r="I6" s="10">
        <v>0</v>
      </c>
      <c r="J6" s="10">
        <v>0</v>
      </c>
      <c r="K6" s="10">
        <v>0</v>
      </c>
    </row>
    <row r="7" ht="41" spans="1:11">
      <c r="A7" s="9" t="s">
        <v>114</v>
      </c>
      <c r="B7" s="12">
        <v>46316</v>
      </c>
      <c r="C7" s="9" t="s">
        <v>115</v>
      </c>
      <c r="D7" s="9" t="s">
        <v>125</v>
      </c>
      <c r="E7" s="9" t="s">
        <v>117</v>
      </c>
      <c r="F7" s="11" t="s">
        <v>126</v>
      </c>
      <c r="G7" s="10">
        <v>1</v>
      </c>
      <c r="H7" s="10">
        <v>1</v>
      </c>
      <c r="I7" s="10">
        <v>0</v>
      </c>
      <c r="J7" s="10">
        <v>0</v>
      </c>
      <c r="K7" s="10">
        <v>0</v>
      </c>
    </row>
    <row r="8" ht="41" spans="1:11">
      <c r="A8" s="9" t="s">
        <v>32</v>
      </c>
      <c r="B8" s="12">
        <v>46317</v>
      </c>
      <c r="C8" s="9" t="s">
        <v>115</v>
      </c>
      <c r="D8" s="9" t="s">
        <v>122</v>
      </c>
      <c r="E8" s="9" t="s">
        <v>123</v>
      </c>
      <c r="F8" s="11" t="s">
        <v>127</v>
      </c>
      <c r="G8" s="10">
        <v>1</v>
      </c>
      <c r="H8" s="10">
        <v>1</v>
      </c>
      <c r="I8" s="10">
        <v>0</v>
      </c>
      <c r="J8" s="10">
        <v>0</v>
      </c>
      <c r="K8" s="10">
        <v>0</v>
      </c>
    </row>
    <row r="9" ht="41" spans="1:11">
      <c r="A9" s="9" t="s">
        <v>32</v>
      </c>
      <c r="B9" s="12">
        <v>46317</v>
      </c>
      <c r="C9" s="9" t="s">
        <v>115</v>
      </c>
      <c r="D9" s="9" t="s">
        <v>128</v>
      </c>
      <c r="E9" s="9" t="s">
        <v>117</v>
      </c>
      <c r="F9" s="11" t="s">
        <v>129</v>
      </c>
      <c r="G9" s="10">
        <v>1</v>
      </c>
      <c r="H9" s="10">
        <v>1</v>
      </c>
      <c r="I9" s="10">
        <v>0</v>
      </c>
      <c r="J9" s="10">
        <v>0</v>
      </c>
      <c r="K9" s="10">
        <v>0</v>
      </c>
    </row>
    <row r="10" ht="41" spans="1:11">
      <c r="A10" s="9" t="s">
        <v>32</v>
      </c>
      <c r="B10" s="12">
        <v>46317</v>
      </c>
      <c r="C10" s="9" t="s">
        <v>115</v>
      </c>
      <c r="D10" s="9" t="s">
        <v>130</v>
      </c>
      <c r="E10" s="9" t="s">
        <v>117</v>
      </c>
      <c r="F10" s="11" t="s">
        <v>131</v>
      </c>
      <c r="G10" s="10">
        <v>1</v>
      </c>
      <c r="H10" s="10">
        <v>1</v>
      </c>
      <c r="I10" s="10">
        <v>0</v>
      </c>
      <c r="J10" s="10">
        <v>0</v>
      </c>
      <c r="K10" s="10">
        <v>0</v>
      </c>
    </row>
    <row r="11" spans="1:11">
      <c r="A11" s="9"/>
      <c r="B11" s="12"/>
      <c r="C11" s="9"/>
      <c r="D11" s="9"/>
      <c r="E11" s="9"/>
      <c r="F11" s="11"/>
      <c r="G11" s="10"/>
      <c r="H11" s="10"/>
      <c r="I11" s="10"/>
      <c r="J11" s="10"/>
      <c r="K11" s="10"/>
    </row>
    <row r="12" spans="1:11">
      <c r="A12" s="9"/>
      <c r="B12" s="12"/>
      <c r="C12" s="9"/>
      <c r="D12" s="9"/>
      <c r="E12" s="9"/>
      <c r="F12" s="11"/>
      <c r="G12" s="10"/>
      <c r="H12" s="10"/>
      <c r="I12" s="10"/>
      <c r="J12" s="10"/>
      <c r="K12" s="10"/>
    </row>
    <row r="13" spans="1:11">
      <c r="A13" s="9"/>
      <c r="B13" s="12"/>
      <c r="C13" s="9"/>
      <c r="D13" s="9"/>
      <c r="E13" s="9"/>
      <c r="F13" s="11"/>
      <c r="G13" s="10"/>
      <c r="H13" s="10"/>
      <c r="I13" s="10"/>
      <c r="J13" s="10"/>
      <c r="K13" s="10"/>
    </row>
    <row r="14" spans="1:11">
      <c r="A14" s="9"/>
      <c r="B14" s="12"/>
      <c r="C14" s="9"/>
      <c r="D14" s="9"/>
      <c r="E14" s="9"/>
      <c r="F14" s="11"/>
      <c r="G14" s="10"/>
      <c r="H14" s="10"/>
      <c r="I14" s="10"/>
      <c r="J14" s="10"/>
      <c r="K14" s="10"/>
    </row>
    <row r="15" spans="1:11">
      <c r="A15" s="9"/>
      <c r="B15" s="12"/>
      <c r="C15" s="9"/>
      <c r="D15" s="9"/>
      <c r="E15" s="9"/>
      <c r="F15" s="11"/>
      <c r="G15" s="10"/>
      <c r="H15" s="10"/>
      <c r="I15" s="10"/>
      <c r="J15" s="10"/>
      <c r="K15" s="10"/>
    </row>
    <row r="16" spans="1:11">
      <c r="A16" s="9"/>
      <c r="B16" s="12"/>
      <c r="C16" s="9"/>
      <c r="D16" s="9"/>
      <c r="E16" s="9"/>
      <c r="F16" s="11"/>
      <c r="G16" s="10"/>
      <c r="H16" s="10"/>
      <c r="I16" s="10"/>
      <c r="J16" s="10"/>
      <c r="K16" s="10"/>
    </row>
    <row r="17" spans="1:11">
      <c r="A17" s="9"/>
      <c r="B17" s="12"/>
      <c r="C17" s="9"/>
      <c r="D17" s="9"/>
      <c r="E17" s="9"/>
      <c r="F17" s="11"/>
      <c r="G17" s="10"/>
      <c r="H17" s="10"/>
      <c r="I17" s="10"/>
      <c r="J17" s="10"/>
      <c r="K17" s="10"/>
    </row>
    <row r="18" spans="1:11">
      <c r="A18" s="9"/>
      <c r="B18" s="12"/>
      <c r="C18" s="9"/>
      <c r="D18" s="9"/>
      <c r="E18" s="9"/>
      <c r="F18" s="11"/>
      <c r="G18" s="10"/>
      <c r="H18" s="10"/>
      <c r="I18" s="10"/>
      <c r="J18" s="10"/>
      <c r="K18" s="10"/>
    </row>
    <row r="19" spans="1:11">
      <c r="A19" s="9"/>
      <c r="B19" s="12"/>
      <c r="C19" s="9"/>
      <c r="D19" s="9"/>
      <c r="E19" s="9"/>
      <c r="F19" s="11"/>
      <c r="G19" s="10"/>
      <c r="H19" s="10"/>
      <c r="I19" s="10"/>
      <c r="J19" s="10"/>
      <c r="K19" s="10"/>
    </row>
    <row r="20" spans="1:11">
      <c r="A20" s="9"/>
      <c r="B20" s="12"/>
      <c r="C20" s="9"/>
      <c r="D20" s="9"/>
      <c r="E20" s="9"/>
      <c r="F20" s="11"/>
      <c r="G20" s="10"/>
      <c r="H20" s="10"/>
      <c r="I20" s="10"/>
      <c r="J20" s="10"/>
      <c r="K20" s="10"/>
    </row>
    <row r="21" spans="1:11">
      <c r="A21" s="9"/>
      <c r="B21" s="12"/>
      <c r="C21" s="9"/>
      <c r="D21" s="9"/>
      <c r="E21" s="9"/>
      <c r="F21" s="11"/>
      <c r="G21" s="10"/>
      <c r="H21" s="10"/>
      <c r="I21" s="10"/>
      <c r="J21" s="10"/>
      <c r="K21" s="10"/>
    </row>
    <row r="22" spans="1:11">
      <c r="A22" s="9"/>
      <c r="B22" s="12"/>
      <c r="C22" s="9"/>
      <c r="D22" s="9"/>
      <c r="E22" s="9"/>
      <c r="F22" s="11"/>
      <c r="G22" s="10"/>
      <c r="H22" s="10"/>
      <c r="I22" s="10"/>
      <c r="J22" s="10"/>
      <c r="K22" s="10"/>
    </row>
    <row r="23" spans="1:11">
      <c r="A23" s="9"/>
      <c r="B23" s="12"/>
      <c r="C23" s="9"/>
      <c r="D23" s="9"/>
      <c r="E23" s="9"/>
      <c r="F23" s="11"/>
      <c r="G23" s="10"/>
      <c r="H23" s="10"/>
      <c r="I23" s="10"/>
      <c r="J23" s="10"/>
      <c r="K23" s="10"/>
    </row>
    <row r="24" spans="1:11">
      <c r="A24" s="9"/>
      <c r="B24" s="12"/>
      <c r="C24" s="9"/>
      <c r="D24" s="9"/>
      <c r="E24" s="9"/>
      <c r="F24" s="11"/>
      <c r="G24" s="10"/>
      <c r="H24" s="10"/>
      <c r="I24" s="10"/>
      <c r="J24" s="10"/>
      <c r="K24" s="10"/>
    </row>
    <row r="25" spans="1:11">
      <c r="A25" s="9"/>
      <c r="B25" s="12"/>
      <c r="C25" s="9"/>
      <c r="D25" s="9"/>
      <c r="E25" s="9"/>
      <c r="F25" s="11"/>
      <c r="G25" s="10"/>
      <c r="H25" s="10"/>
      <c r="I25" s="10"/>
      <c r="J25" s="10"/>
      <c r="K25" s="10"/>
    </row>
    <row r="26" spans="1:11">
      <c r="A26" s="9"/>
      <c r="B26" s="12"/>
      <c r="C26" s="9"/>
      <c r="D26" s="9"/>
      <c r="E26" s="9"/>
      <c r="F26" s="11"/>
      <c r="G26" s="10"/>
      <c r="H26" s="10"/>
      <c r="I26" s="10"/>
      <c r="J26" s="10"/>
      <c r="K26" s="10"/>
    </row>
    <row r="27" spans="1:11">
      <c r="A27" s="9"/>
      <c r="B27" s="12"/>
      <c r="C27" s="9"/>
      <c r="D27" s="9"/>
      <c r="E27" s="9"/>
      <c r="F27" s="11"/>
      <c r="G27" s="10"/>
      <c r="H27" s="10"/>
      <c r="I27" s="10"/>
      <c r="J27" s="10"/>
      <c r="K27" s="10"/>
    </row>
    <row r="28" spans="1:11">
      <c r="A28" s="9"/>
      <c r="B28" s="12"/>
      <c r="C28" s="9"/>
      <c r="D28" s="9"/>
      <c r="E28" s="9"/>
      <c r="F28" s="11"/>
      <c r="G28" s="10"/>
      <c r="H28" s="10"/>
      <c r="I28" s="10"/>
      <c r="J28" s="10"/>
      <c r="K28" s="10"/>
    </row>
    <row r="29" spans="1:11">
      <c r="A29" s="9"/>
      <c r="B29" s="12"/>
      <c r="C29" s="9"/>
      <c r="D29" s="9"/>
      <c r="E29" s="9"/>
      <c r="F29" s="11"/>
      <c r="G29" s="10"/>
      <c r="H29" s="10"/>
      <c r="I29" s="10"/>
      <c r="J29" s="10"/>
      <c r="K29" s="10"/>
    </row>
    <row r="30" spans="1:11">
      <c r="A30" s="9"/>
      <c r="B30" s="12"/>
      <c r="C30" s="9"/>
      <c r="D30" s="9"/>
      <c r="E30" s="9"/>
      <c r="F30" s="11"/>
      <c r="G30" s="10"/>
      <c r="H30" s="10"/>
      <c r="I30" s="10"/>
      <c r="J30" s="10"/>
      <c r="K30" s="10"/>
    </row>
    <row r="31" spans="1:11">
      <c r="A31" s="9"/>
      <c r="B31" s="12"/>
      <c r="C31" s="9"/>
      <c r="D31" s="9"/>
      <c r="E31" s="9"/>
      <c r="F31" s="11"/>
      <c r="G31" s="10"/>
      <c r="H31" s="10"/>
      <c r="I31" s="10"/>
      <c r="J31" s="10"/>
      <c r="K31" s="10"/>
    </row>
    <row r="32" spans="1:11">
      <c r="A32" s="9"/>
      <c r="B32" s="12"/>
      <c r="C32" s="9"/>
      <c r="D32" s="9"/>
      <c r="E32" s="9"/>
      <c r="F32" s="11"/>
      <c r="G32" s="10"/>
      <c r="H32" s="10"/>
      <c r="I32" s="10"/>
      <c r="J32" s="10"/>
      <c r="K32" s="10"/>
    </row>
    <row r="33" spans="1:11">
      <c r="A33" s="9"/>
      <c r="B33" s="12"/>
      <c r="C33" s="9"/>
      <c r="D33" s="9"/>
      <c r="E33" s="9"/>
      <c r="F33" s="11"/>
      <c r="G33" s="10"/>
      <c r="H33" s="10"/>
      <c r="I33" s="10"/>
      <c r="J33" s="10"/>
      <c r="K33" s="10"/>
    </row>
  </sheetData>
  <dataValidations count="4">
    <dataValidation type="list" allowBlank="1" showErrorMessage="1" error="Pick a value from the list" sqref="A4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D6" sqref="D6"/>
    </sheetView>
  </sheetViews>
  <sheetFormatPr defaultColWidth="8.68181818181818" defaultRowHeight="14.5" outlineLevelCol="2"/>
  <cols>
    <col min="1" max="1" width="26" customWidth="1"/>
    <col min="2" max="3" width="9" customWidth="1"/>
  </cols>
  <sheetData>
    <row r="1" ht="18" spans="1:3">
      <c r="A1" s="2" t="s">
        <v>132</v>
      </c>
    </row>
    <row r="2" spans="1:3">
      <c r="A2" s="3" t="s">
        <v>133</v>
      </c>
    </row>
    <row r="3" ht="30" customHeight="1" spans="1:3">
      <c r="A3" s="4" t="s">
        <v>134</v>
      </c>
      <c r="B3" s="4" t="s">
        <v>135</v>
      </c>
      <c r="C3" s="4" t="s">
        <v>136</v>
      </c>
    </row>
    <row r="4" spans="1:3">
      <c r="A4" s="9" t="s">
        <v>137</v>
      </c>
      <c r="B4" s="9" t="s">
        <v>138</v>
      </c>
      <c r="C4" s="10">
        <v>1</v>
      </c>
    </row>
    <row r="5" spans="1:3">
      <c r="A5" s="9" t="s">
        <v>139</v>
      </c>
      <c r="B5" s="9" t="s">
        <v>138</v>
      </c>
      <c r="C5" s="10">
        <v>0</v>
      </c>
    </row>
    <row r="6" spans="1:3">
      <c r="A6" s="9" t="s">
        <v>140</v>
      </c>
      <c r="B6" s="9" t="s">
        <v>138</v>
      </c>
      <c r="C6" s="10">
        <v>1</v>
      </c>
    </row>
    <row r="7" spans="1:3">
      <c r="A7" s="9" t="s">
        <v>141</v>
      </c>
      <c r="B7" s="9" t="s">
        <v>138</v>
      </c>
      <c r="C7" s="10">
        <v>0</v>
      </c>
    </row>
    <row r="8" spans="1:3">
      <c r="A8" s="9" t="s">
        <v>142</v>
      </c>
      <c r="B8" s="9" t="s">
        <v>138</v>
      </c>
      <c r="C8" s="10">
        <v>4</v>
      </c>
    </row>
    <row r="9" spans="1:3">
      <c r="A9" s="9"/>
      <c r="B9" s="9"/>
      <c r="C9" s="10"/>
    </row>
    <row r="10" spans="1:3">
      <c r="A10" s="9"/>
      <c r="B10" s="9"/>
      <c r="C10" s="10"/>
    </row>
    <row r="11" spans="1:3">
      <c r="A11" s="9"/>
      <c r="B11" s="9"/>
      <c r="C11" s="10"/>
    </row>
    <row r="12" spans="1:3">
      <c r="A12" s="9"/>
      <c r="B12" s="9"/>
      <c r="C12" s="10"/>
    </row>
    <row r="13" spans="1:3">
      <c r="A13" s="9"/>
      <c r="B13" s="9"/>
      <c r="C13" s="10"/>
    </row>
    <row r="14" spans="1:3">
      <c r="A14" s="9"/>
      <c r="B14" s="9"/>
      <c r="C14" s="10"/>
    </row>
    <row r="15" spans="1:3">
      <c r="A15" s="9"/>
      <c r="B15" s="9"/>
      <c r="C15" s="10"/>
    </row>
    <row r="16" spans="1:3">
      <c r="A16" s="9"/>
      <c r="B16" s="9"/>
      <c r="C16" s="10"/>
    </row>
    <row r="17" spans="1:3">
      <c r="A17" s="9"/>
      <c r="B17" s="9"/>
      <c r="C17" s="10"/>
    </row>
    <row r="18" spans="1:3">
      <c r="A18" s="9"/>
      <c r="B18" s="9"/>
      <c r="C18" s="10"/>
    </row>
  </sheetData>
  <dataValidations count="1">
    <dataValidation type="decimal" operator="between" allowBlank="1" showErrorMessage="1" error="Numbers only" sqref="C4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workbookViewId="0">
      <pane ySplit="3" topLeftCell="A7" activePane="bottomLeft" state="frozen"/>
      <selection/>
      <selection pane="bottomLeft" activeCell="H16" sqref="H16"/>
    </sheetView>
  </sheetViews>
  <sheetFormatPr defaultColWidth="8.68181818181818" defaultRowHeight="14.5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8" spans="1:13">
      <c r="A1" s="2" t="s">
        <v>143</v>
      </c>
    </row>
    <row r="2" spans="1:13">
      <c r="A2" s="3" t="s">
        <v>144</v>
      </c>
    </row>
    <row r="3" ht="30" customHeight="1" spans="1:13">
      <c r="A3" s="4" t="s">
        <v>93</v>
      </c>
      <c r="B3" s="4" t="s">
        <v>106</v>
      </c>
      <c r="C3" s="4" t="s">
        <v>145</v>
      </c>
      <c r="D3" s="4" t="s">
        <v>146</v>
      </c>
      <c r="E3" s="4" t="s">
        <v>147</v>
      </c>
      <c r="F3" s="4" t="s">
        <v>148</v>
      </c>
      <c r="G3" s="4" t="s">
        <v>149</v>
      </c>
      <c r="H3" s="4" t="s">
        <v>94</v>
      </c>
      <c r="I3" s="4" t="s">
        <v>110</v>
      </c>
      <c r="J3" s="4" t="s">
        <v>150</v>
      </c>
      <c r="K3" s="4" t="s">
        <v>151</v>
      </c>
      <c r="L3" s="4" t="s">
        <v>152</v>
      </c>
      <c r="M3" s="4" t="s">
        <v>153</v>
      </c>
    </row>
    <row r="4" spans="1:13">
      <c r="A4" s="9" t="s">
        <v>119</v>
      </c>
      <c r="B4" s="9" t="s">
        <v>154</v>
      </c>
      <c r="C4" s="13">
        <v>24</v>
      </c>
      <c r="D4" s="13">
        <v>15</v>
      </c>
      <c r="E4" s="13">
        <v>45</v>
      </c>
      <c r="F4" s="13">
        <v>23</v>
      </c>
      <c r="G4" s="13">
        <v>11</v>
      </c>
      <c r="H4" s="13">
        <v>6</v>
      </c>
      <c r="I4" s="13">
        <v>12</v>
      </c>
      <c r="J4" s="14">
        <f t="shared" ref="J4:J43" si="0">IF(C4&gt;0,D4/C4,"")</f>
        <v>0.625</v>
      </c>
      <c r="K4" s="14">
        <f t="shared" ref="K4:K43" si="1">IF(E4&gt;0,F4/E4,"")</f>
        <v>0.511111111111111</v>
      </c>
      <c r="L4" s="15">
        <f t="shared" ref="L4:L43" si="2">IF(H4&gt;0,ROUND(G4/H4,1),"")</f>
        <v>1.8</v>
      </c>
      <c r="M4" s="15">
        <f t="shared" ref="M4:M43" si="3">IF(G4&gt;0,ROUND(I4/G4,1),"")</f>
        <v>1.1</v>
      </c>
    </row>
    <row r="5" spans="1:13">
      <c r="A5" s="9" t="s">
        <v>119</v>
      </c>
      <c r="B5" s="9" t="s">
        <v>120</v>
      </c>
      <c r="C5" s="13">
        <v>7</v>
      </c>
      <c r="D5" s="13">
        <v>8</v>
      </c>
      <c r="E5" s="13">
        <v>73</v>
      </c>
      <c r="F5" s="13">
        <v>10</v>
      </c>
      <c r="G5" s="13">
        <v>6</v>
      </c>
      <c r="H5" s="13">
        <v>4</v>
      </c>
      <c r="I5" s="13">
        <v>7</v>
      </c>
      <c r="J5" s="14">
        <f t="shared" si="0"/>
        <v>1.14285714285714</v>
      </c>
      <c r="K5" s="14">
        <f t="shared" si="1"/>
        <v>0.136986301369863</v>
      </c>
      <c r="L5" s="15">
        <f t="shared" si="2"/>
        <v>1.5</v>
      </c>
      <c r="M5" s="15">
        <f t="shared" si="3"/>
        <v>1.2</v>
      </c>
    </row>
    <row r="6" spans="1:13">
      <c r="A6" s="9" t="s">
        <v>119</v>
      </c>
      <c r="B6" s="9" t="s">
        <v>155</v>
      </c>
      <c r="C6" s="13">
        <v>8</v>
      </c>
      <c r="D6" s="13">
        <v>8</v>
      </c>
      <c r="E6" s="13">
        <v>27</v>
      </c>
      <c r="F6" s="13">
        <v>11</v>
      </c>
      <c r="G6" s="13">
        <v>6</v>
      </c>
      <c r="H6" s="13">
        <v>4</v>
      </c>
      <c r="I6" s="13">
        <v>6</v>
      </c>
      <c r="J6" s="14">
        <f t="shared" si="0"/>
        <v>1</v>
      </c>
      <c r="K6" s="14">
        <f t="shared" si="1"/>
        <v>0.407407407407407</v>
      </c>
      <c r="L6" s="15">
        <f t="shared" si="2"/>
        <v>1.5</v>
      </c>
      <c r="M6" s="15">
        <f t="shared" si="3"/>
        <v>1</v>
      </c>
    </row>
    <row r="7" spans="1:13">
      <c r="A7" s="9" t="s">
        <v>156</v>
      </c>
      <c r="B7" s="9" t="s">
        <v>157</v>
      </c>
      <c r="C7" s="13">
        <v>11</v>
      </c>
      <c r="D7" s="13">
        <v>5</v>
      </c>
      <c r="E7" s="13">
        <v>27</v>
      </c>
      <c r="F7" s="13">
        <v>8</v>
      </c>
      <c r="G7" s="13">
        <v>5</v>
      </c>
      <c r="H7" s="13">
        <v>4</v>
      </c>
      <c r="I7" s="13">
        <v>4</v>
      </c>
      <c r="J7" s="14">
        <f t="shared" si="0"/>
        <v>0.454545454545455</v>
      </c>
      <c r="K7" s="14">
        <f t="shared" si="1"/>
        <v>0.296296296296296</v>
      </c>
      <c r="L7" s="15">
        <f t="shared" si="2"/>
        <v>1.3</v>
      </c>
      <c r="M7" s="15">
        <f t="shared" si="3"/>
        <v>0.8</v>
      </c>
    </row>
    <row r="8" spans="1:13">
      <c r="A8" s="9" t="s">
        <v>156</v>
      </c>
      <c r="B8" s="9" t="s">
        <v>158</v>
      </c>
      <c r="C8" s="13">
        <v>9</v>
      </c>
      <c r="D8" s="13">
        <v>6</v>
      </c>
      <c r="E8" s="13">
        <v>25</v>
      </c>
      <c r="F8" s="13">
        <v>10</v>
      </c>
      <c r="G8" s="13">
        <v>6</v>
      </c>
      <c r="H8" s="13">
        <v>4</v>
      </c>
      <c r="I8" s="13">
        <v>6</v>
      </c>
      <c r="J8" s="14">
        <f t="shared" si="0"/>
        <v>0.666666666666667</v>
      </c>
      <c r="K8" s="14">
        <f t="shared" si="1"/>
        <v>0.4</v>
      </c>
      <c r="L8" s="15">
        <f t="shared" si="2"/>
        <v>1.5</v>
      </c>
      <c r="M8" s="15">
        <f t="shared" si="3"/>
        <v>1</v>
      </c>
    </row>
    <row r="9" spans="1:13">
      <c r="A9" s="9" t="s">
        <v>156</v>
      </c>
      <c r="B9" s="9" t="s">
        <v>159</v>
      </c>
      <c r="C9" s="13">
        <v>5</v>
      </c>
      <c r="D9" s="13">
        <v>6</v>
      </c>
      <c r="E9" s="13">
        <v>11</v>
      </c>
      <c r="F9" s="13">
        <v>1</v>
      </c>
      <c r="G9" s="13">
        <v>5</v>
      </c>
      <c r="H9" s="13">
        <v>3</v>
      </c>
      <c r="I9" s="13">
        <v>9</v>
      </c>
      <c r="J9" s="14">
        <f t="shared" si="0"/>
        <v>1.2</v>
      </c>
      <c r="K9" s="14">
        <f t="shared" si="1"/>
        <v>0.0909090909090909</v>
      </c>
      <c r="L9" s="15">
        <f t="shared" si="2"/>
        <v>1.7</v>
      </c>
      <c r="M9" s="15">
        <f t="shared" si="3"/>
        <v>1.8</v>
      </c>
    </row>
    <row r="10" spans="1:13">
      <c r="A10" s="9" t="s">
        <v>156</v>
      </c>
      <c r="B10" s="9" t="s">
        <v>160</v>
      </c>
      <c r="C10" s="13">
        <v>7</v>
      </c>
      <c r="D10" s="13">
        <v>4</v>
      </c>
      <c r="E10" s="13">
        <v>22</v>
      </c>
      <c r="F10" s="13">
        <v>3</v>
      </c>
      <c r="G10" s="13">
        <v>4</v>
      </c>
      <c r="H10" s="13">
        <v>2</v>
      </c>
      <c r="I10" s="13">
        <v>2</v>
      </c>
      <c r="J10" s="14">
        <f t="shared" si="0"/>
        <v>0.571428571428571</v>
      </c>
      <c r="K10" s="14">
        <f t="shared" si="1"/>
        <v>0.136363636363636</v>
      </c>
      <c r="L10" s="15">
        <f t="shared" si="2"/>
        <v>2</v>
      </c>
      <c r="M10" s="15">
        <f t="shared" si="3"/>
        <v>0.5</v>
      </c>
    </row>
    <row r="11" spans="1:13">
      <c r="A11" s="9" t="s">
        <v>161</v>
      </c>
      <c r="B11" s="9" t="s">
        <v>161</v>
      </c>
      <c r="C11" s="13">
        <v>4</v>
      </c>
      <c r="D11" s="13">
        <v>2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4">
        <f t="shared" si="0"/>
        <v>0.5</v>
      </c>
      <c r="K11" s="14">
        <f t="shared" si="1"/>
        <v>1</v>
      </c>
      <c r="L11" s="15">
        <f t="shared" si="2"/>
        <v>1</v>
      </c>
      <c r="M11" s="15">
        <f t="shared" si="3"/>
        <v>1</v>
      </c>
    </row>
    <row r="12" spans="1:13">
      <c r="A12" s="9" t="s">
        <v>162</v>
      </c>
      <c r="B12" s="9" t="s">
        <v>75</v>
      </c>
      <c r="C12" s="13">
        <v>12</v>
      </c>
      <c r="D12" s="13">
        <v>12</v>
      </c>
      <c r="E12" s="13">
        <v>26</v>
      </c>
      <c r="F12" s="13">
        <v>12</v>
      </c>
      <c r="G12" s="13">
        <v>9</v>
      </c>
      <c r="H12" s="13">
        <v>9</v>
      </c>
      <c r="I12" s="13">
        <v>11</v>
      </c>
      <c r="J12" s="14">
        <f t="shared" si="0"/>
        <v>1</v>
      </c>
      <c r="K12" s="14">
        <f t="shared" si="1"/>
        <v>0.461538461538462</v>
      </c>
      <c r="L12" s="15">
        <f t="shared" si="2"/>
        <v>1</v>
      </c>
      <c r="M12" s="15">
        <f t="shared" si="3"/>
        <v>1.2</v>
      </c>
    </row>
    <row r="13" spans="1:13">
      <c r="A13" s="9" t="s">
        <v>162</v>
      </c>
      <c r="B13" s="9" t="s">
        <v>82</v>
      </c>
      <c r="C13" s="13">
        <v>4</v>
      </c>
      <c r="D13" s="13">
        <v>4</v>
      </c>
      <c r="E13" s="13">
        <v>12</v>
      </c>
      <c r="F13" s="13">
        <v>4</v>
      </c>
      <c r="G13" s="13">
        <v>3</v>
      </c>
      <c r="H13" s="13">
        <v>2</v>
      </c>
      <c r="I13" s="13">
        <v>3</v>
      </c>
      <c r="J13" s="14">
        <f t="shared" si="0"/>
        <v>1</v>
      </c>
      <c r="K13" s="14">
        <f t="shared" si="1"/>
        <v>0.333333333333333</v>
      </c>
      <c r="L13" s="15">
        <f t="shared" si="2"/>
        <v>1.5</v>
      </c>
      <c r="M13" s="15">
        <f t="shared" si="3"/>
        <v>1</v>
      </c>
    </row>
    <row r="14" spans="1:13">
      <c r="A14" s="9" t="s">
        <v>162</v>
      </c>
      <c r="B14" s="9" t="s">
        <v>79</v>
      </c>
      <c r="C14" s="13">
        <v>9</v>
      </c>
      <c r="D14" s="13">
        <v>9</v>
      </c>
      <c r="E14" s="13">
        <v>8</v>
      </c>
      <c r="F14" s="13">
        <v>2</v>
      </c>
      <c r="G14" s="13">
        <v>2</v>
      </c>
      <c r="H14" s="13">
        <v>2</v>
      </c>
      <c r="I14" s="13">
        <v>3</v>
      </c>
      <c r="J14" s="14">
        <f t="shared" si="0"/>
        <v>1</v>
      </c>
      <c r="K14" s="14">
        <f t="shared" si="1"/>
        <v>0.25</v>
      </c>
      <c r="L14" s="15">
        <f t="shared" si="2"/>
        <v>1</v>
      </c>
      <c r="M14" s="15">
        <f t="shared" si="3"/>
        <v>1.5</v>
      </c>
    </row>
    <row r="15" spans="1:13">
      <c r="A15" s="9" t="s">
        <v>162</v>
      </c>
      <c r="B15" s="9" t="s">
        <v>76</v>
      </c>
      <c r="C15" s="13">
        <v>8</v>
      </c>
      <c r="D15" s="13">
        <v>4</v>
      </c>
      <c r="E15" s="13">
        <v>11</v>
      </c>
      <c r="F15" s="13">
        <v>8</v>
      </c>
      <c r="G15" s="13">
        <v>3</v>
      </c>
      <c r="H15" s="13">
        <v>3</v>
      </c>
      <c r="I15" s="13">
        <v>3</v>
      </c>
      <c r="J15" s="14">
        <f t="shared" si="0"/>
        <v>0.5</v>
      </c>
      <c r="K15" s="14">
        <f t="shared" si="1"/>
        <v>0.727272727272727</v>
      </c>
      <c r="L15" s="15">
        <f t="shared" si="2"/>
        <v>1</v>
      </c>
      <c r="M15" s="15">
        <f t="shared" si="3"/>
        <v>1</v>
      </c>
    </row>
    <row r="16" spans="1:13">
      <c r="A16" s="9"/>
      <c r="B16" s="9"/>
      <c r="C16" s="10"/>
      <c r="D16" s="10"/>
      <c r="E16" s="10"/>
      <c r="F16" s="10"/>
      <c r="G16" s="10"/>
      <c r="H16" s="10"/>
      <c r="I16" s="10"/>
      <c r="J16" s="14" t="str">
        <f t="shared" si="0"/>
        <v/>
      </c>
      <c r="K16" s="14" t="str">
        <f t="shared" si="1"/>
        <v/>
      </c>
      <c r="L16" s="15" t="str">
        <f t="shared" si="2"/>
        <v/>
      </c>
      <c r="M16" s="15" t="str">
        <f t="shared" si="3"/>
        <v/>
      </c>
    </row>
    <row r="17" spans="1:13">
      <c r="A17" s="9"/>
      <c r="B17" s="9"/>
      <c r="C17" s="10"/>
      <c r="D17" s="10"/>
      <c r="E17" s="10"/>
      <c r="F17" s="10"/>
      <c r="G17" s="10"/>
      <c r="H17" s="10"/>
      <c r="I17" s="10"/>
      <c r="J17" s="14" t="str">
        <f t="shared" si="0"/>
        <v/>
      </c>
      <c r="K17" s="14" t="str">
        <f t="shared" si="1"/>
        <v/>
      </c>
      <c r="L17" s="15" t="str">
        <f t="shared" si="2"/>
        <v/>
      </c>
      <c r="M17" s="15" t="str">
        <f t="shared" si="3"/>
        <v/>
      </c>
    </row>
    <row r="18" spans="1:13">
      <c r="A18" s="9"/>
      <c r="B18" s="9"/>
      <c r="C18" s="10"/>
      <c r="D18" s="10"/>
      <c r="E18" s="10"/>
      <c r="F18" s="10"/>
      <c r="G18" s="10"/>
      <c r="H18" s="10"/>
      <c r="I18" s="10"/>
      <c r="J18" s="14" t="str">
        <f t="shared" si="0"/>
        <v/>
      </c>
      <c r="K18" s="14" t="str">
        <f t="shared" si="1"/>
        <v/>
      </c>
      <c r="L18" s="15" t="str">
        <f t="shared" si="2"/>
        <v/>
      </c>
      <c r="M18" s="15" t="str">
        <f t="shared" si="3"/>
        <v/>
      </c>
    </row>
    <row r="19" spans="1:13">
      <c r="A19" s="9"/>
      <c r="B19" s="9"/>
      <c r="C19" s="10"/>
      <c r="D19" s="10"/>
      <c r="E19" s="10"/>
      <c r="F19" s="10"/>
      <c r="G19" s="10"/>
      <c r="H19" s="10"/>
      <c r="I19" s="10"/>
      <c r="J19" s="14" t="str">
        <f t="shared" si="0"/>
        <v/>
      </c>
      <c r="K19" s="14" t="str">
        <f t="shared" si="1"/>
        <v/>
      </c>
      <c r="L19" s="15" t="str">
        <f t="shared" si="2"/>
        <v/>
      </c>
      <c r="M19" s="15" t="str">
        <f t="shared" si="3"/>
        <v/>
      </c>
    </row>
    <row r="20" spans="1:13">
      <c r="A20" s="9"/>
      <c r="B20" s="9"/>
      <c r="C20" s="10"/>
      <c r="D20" s="10"/>
      <c r="E20" s="10"/>
      <c r="F20" s="10"/>
      <c r="G20" s="10"/>
      <c r="H20" s="10"/>
      <c r="I20" s="10"/>
      <c r="J20" s="14" t="str">
        <f t="shared" si="0"/>
        <v/>
      </c>
      <c r="K20" s="14" t="str">
        <f t="shared" si="1"/>
        <v/>
      </c>
      <c r="L20" s="15" t="str">
        <f t="shared" si="2"/>
        <v/>
      </c>
      <c r="M20" s="15" t="str">
        <f t="shared" si="3"/>
        <v/>
      </c>
    </row>
    <row r="21" spans="1:13">
      <c r="A21" s="9"/>
      <c r="B21" s="9"/>
      <c r="C21" s="10"/>
      <c r="D21" s="10"/>
      <c r="E21" s="10"/>
      <c r="F21" s="10"/>
      <c r="G21" s="10"/>
      <c r="H21" s="10"/>
      <c r="I21" s="10"/>
      <c r="J21" s="14" t="str">
        <f t="shared" si="0"/>
        <v/>
      </c>
      <c r="K21" s="14" t="str">
        <f t="shared" si="1"/>
        <v/>
      </c>
      <c r="L21" s="15" t="str">
        <f t="shared" si="2"/>
        <v/>
      </c>
      <c r="M21" s="15" t="str">
        <f t="shared" si="3"/>
        <v/>
      </c>
    </row>
    <row r="22" spans="1:13">
      <c r="A22" s="9"/>
      <c r="B22" s="9"/>
      <c r="C22" s="10"/>
      <c r="D22" s="10"/>
      <c r="E22" s="10"/>
      <c r="F22" s="10"/>
      <c r="G22" s="10"/>
      <c r="H22" s="10"/>
      <c r="I22" s="10"/>
      <c r="J22" s="14" t="str">
        <f t="shared" si="0"/>
        <v/>
      </c>
      <c r="K22" s="14" t="str">
        <f t="shared" si="1"/>
        <v/>
      </c>
      <c r="L22" s="15" t="str">
        <f t="shared" si="2"/>
        <v/>
      </c>
      <c r="M22" s="15" t="str">
        <f t="shared" si="3"/>
        <v/>
      </c>
    </row>
    <row r="23" spans="1:13">
      <c r="A23" s="9"/>
      <c r="B23" s="9"/>
      <c r="C23" s="10"/>
      <c r="D23" s="10"/>
      <c r="E23" s="10"/>
      <c r="F23" s="10"/>
      <c r="G23" s="10"/>
      <c r="H23" s="10"/>
      <c r="I23" s="10"/>
      <c r="J23" s="14" t="str">
        <f t="shared" si="0"/>
        <v/>
      </c>
      <c r="K23" s="14" t="str">
        <f t="shared" si="1"/>
        <v/>
      </c>
      <c r="L23" s="15" t="str">
        <f t="shared" si="2"/>
        <v/>
      </c>
      <c r="M23" s="15" t="str">
        <f t="shared" si="3"/>
        <v/>
      </c>
    </row>
    <row r="24" spans="1:13">
      <c r="A24" s="9"/>
      <c r="B24" s="9"/>
      <c r="C24" s="10"/>
      <c r="D24" s="10"/>
      <c r="E24" s="10"/>
      <c r="F24" s="10"/>
      <c r="G24" s="10"/>
      <c r="H24" s="10"/>
      <c r="I24" s="10"/>
      <c r="J24" s="14" t="str">
        <f t="shared" si="0"/>
        <v/>
      </c>
      <c r="K24" s="14" t="str">
        <f t="shared" si="1"/>
        <v/>
      </c>
      <c r="L24" s="15" t="str">
        <f t="shared" si="2"/>
        <v/>
      </c>
      <c r="M24" s="15" t="str">
        <f t="shared" si="3"/>
        <v/>
      </c>
    </row>
    <row r="25" spans="1:13">
      <c r="A25" s="9"/>
      <c r="B25" s="9"/>
      <c r="C25" s="10"/>
      <c r="D25" s="10"/>
      <c r="E25" s="10"/>
      <c r="F25" s="10"/>
      <c r="G25" s="10"/>
      <c r="H25" s="10"/>
      <c r="I25" s="10"/>
      <c r="J25" s="14" t="str">
        <f t="shared" si="0"/>
        <v/>
      </c>
      <c r="K25" s="14" t="str">
        <f t="shared" si="1"/>
        <v/>
      </c>
      <c r="L25" s="15" t="str">
        <f t="shared" si="2"/>
        <v/>
      </c>
      <c r="M25" s="15" t="str">
        <f t="shared" si="3"/>
        <v/>
      </c>
    </row>
    <row r="26" spans="1:13">
      <c r="A26" s="9"/>
      <c r="B26" s="9"/>
      <c r="C26" s="10"/>
      <c r="D26" s="10"/>
      <c r="E26" s="10"/>
      <c r="F26" s="10"/>
      <c r="G26" s="10"/>
      <c r="H26" s="10"/>
      <c r="I26" s="10"/>
      <c r="J26" s="14" t="str">
        <f t="shared" si="0"/>
        <v/>
      </c>
      <c r="K26" s="14" t="str">
        <f t="shared" si="1"/>
        <v/>
      </c>
      <c r="L26" s="15" t="str">
        <f t="shared" si="2"/>
        <v/>
      </c>
      <c r="M26" s="15" t="str">
        <f t="shared" si="3"/>
        <v/>
      </c>
    </row>
    <row r="27" spans="1:13">
      <c r="A27" s="9"/>
      <c r="B27" s="9"/>
      <c r="C27" s="10"/>
      <c r="D27" s="10"/>
      <c r="E27" s="10"/>
      <c r="F27" s="10"/>
      <c r="G27" s="10"/>
      <c r="H27" s="10"/>
      <c r="I27" s="10"/>
      <c r="J27" s="14" t="str">
        <f t="shared" si="0"/>
        <v/>
      </c>
      <c r="K27" s="14" t="str">
        <f t="shared" si="1"/>
        <v/>
      </c>
      <c r="L27" s="15" t="str">
        <f t="shared" si="2"/>
        <v/>
      </c>
      <c r="M27" s="15" t="str">
        <f t="shared" si="3"/>
        <v/>
      </c>
    </row>
    <row r="28" spans="1:13">
      <c r="A28" s="9"/>
      <c r="B28" s="9"/>
      <c r="C28" s="10"/>
      <c r="D28" s="10"/>
      <c r="E28" s="10"/>
      <c r="F28" s="10"/>
      <c r="G28" s="10"/>
      <c r="H28" s="10"/>
      <c r="I28" s="10"/>
      <c r="J28" s="14" t="str">
        <f t="shared" si="0"/>
        <v/>
      </c>
      <c r="K28" s="14" t="str">
        <f t="shared" si="1"/>
        <v/>
      </c>
      <c r="L28" s="15" t="str">
        <f t="shared" si="2"/>
        <v/>
      </c>
      <c r="M28" s="15" t="str">
        <f t="shared" si="3"/>
        <v/>
      </c>
    </row>
    <row r="29" spans="1:13">
      <c r="A29" s="9"/>
      <c r="B29" s="9"/>
      <c r="C29" s="10"/>
      <c r="D29" s="10"/>
      <c r="E29" s="10"/>
      <c r="F29" s="10"/>
      <c r="G29" s="10"/>
      <c r="H29" s="10"/>
      <c r="I29" s="10"/>
      <c r="J29" s="14" t="str">
        <f t="shared" si="0"/>
        <v/>
      </c>
      <c r="K29" s="14" t="str">
        <f t="shared" si="1"/>
        <v/>
      </c>
      <c r="L29" s="15" t="str">
        <f t="shared" si="2"/>
        <v/>
      </c>
      <c r="M29" s="15" t="str">
        <f t="shared" si="3"/>
        <v/>
      </c>
    </row>
    <row r="30" spans="1:13">
      <c r="A30" s="9"/>
      <c r="B30" s="9"/>
      <c r="C30" s="10"/>
      <c r="D30" s="10"/>
      <c r="E30" s="10"/>
      <c r="F30" s="10"/>
      <c r="G30" s="10"/>
      <c r="H30" s="10"/>
      <c r="I30" s="10"/>
      <c r="J30" s="14" t="str">
        <f t="shared" si="0"/>
        <v/>
      </c>
      <c r="K30" s="14" t="str">
        <f t="shared" si="1"/>
        <v/>
      </c>
      <c r="L30" s="15" t="str">
        <f t="shared" si="2"/>
        <v/>
      </c>
      <c r="M30" s="15" t="str">
        <f t="shared" si="3"/>
        <v/>
      </c>
    </row>
    <row r="31" spans="1:13">
      <c r="A31" s="9"/>
      <c r="B31" s="9"/>
      <c r="C31" s="10"/>
      <c r="D31" s="10"/>
      <c r="E31" s="10"/>
      <c r="F31" s="10"/>
      <c r="G31" s="10"/>
      <c r="H31" s="10"/>
      <c r="I31" s="10"/>
      <c r="J31" s="14" t="str">
        <f t="shared" si="0"/>
        <v/>
      </c>
      <c r="K31" s="14" t="str">
        <f t="shared" si="1"/>
        <v/>
      </c>
      <c r="L31" s="15" t="str">
        <f t="shared" si="2"/>
        <v/>
      </c>
      <c r="M31" s="15" t="str">
        <f t="shared" si="3"/>
        <v/>
      </c>
    </row>
    <row r="32" spans="1:13">
      <c r="A32" s="9"/>
      <c r="B32" s="9"/>
      <c r="C32" s="10"/>
      <c r="D32" s="10"/>
      <c r="E32" s="10"/>
      <c r="F32" s="10"/>
      <c r="G32" s="10"/>
      <c r="H32" s="10"/>
      <c r="I32" s="10"/>
      <c r="J32" s="14" t="str">
        <f t="shared" si="0"/>
        <v/>
      </c>
      <c r="K32" s="14" t="str">
        <f t="shared" si="1"/>
        <v/>
      </c>
      <c r="L32" s="15" t="str">
        <f t="shared" si="2"/>
        <v/>
      </c>
      <c r="M32" s="15" t="str">
        <f t="shared" si="3"/>
        <v/>
      </c>
    </row>
    <row r="33" spans="1:13">
      <c r="A33" s="9"/>
      <c r="B33" s="9"/>
      <c r="C33" s="10"/>
      <c r="D33" s="10"/>
      <c r="E33" s="10"/>
      <c r="F33" s="10"/>
      <c r="G33" s="10"/>
      <c r="H33" s="10"/>
      <c r="I33" s="10"/>
      <c r="J33" s="14" t="str">
        <f t="shared" si="0"/>
        <v/>
      </c>
      <c r="K33" s="14" t="str">
        <f t="shared" si="1"/>
        <v/>
      </c>
      <c r="L33" s="15" t="str">
        <f t="shared" si="2"/>
        <v/>
      </c>
      <c r="M33" s="15" t="str">
        <f t="shared" si="3"/>
        <v/>
      </c>
    </row>
    <row r="34" spans="1:13">
      <c r="A34" s="9"/>
      <c r="B34" s="9"/>
      <c r="C34" s="10"/>
      <c r="D34" s="10"/>
      <c r="E34" s="10"/>
      <c r="F34" s="10"/>
      <c r="G34" s="10"/>
      <c r="H34" s="10"/>
      <c r="I34" s="10"/>
      <c r="J34" s="14" t="str">
        <f t="shared" si="0"/>
        <v/>
      </c>
      <c r="K34" s="14" t="str">
        <f t="shared" si="1"/>
        <v/>
      </c>
      <c r="L34" s="15" t="str">
        <f t="shared" si="2"/>
        <v/>
      </c>
      <c r="M34" s="15" t="str">
        <f t="shared" si="3"/>
        <v/>
      </c>
    </row>
    <row r="35" spans="1:13">
      <c r="A35" s="9"/>
      <c r="B35" s="9"/>
      <c r="C35" s="10"/>
      <c r="D35" s="10"/>
      <c r="E35" s="10"/>
      <c r="F35" s="10"/>
      <c r="G35" s="10"/>
      <c r="H35" s="10"/>
      <c r="I35" s="10"/>
      <c r="J35" s="14" t="str">
        <f t="shared" si="0"/>
        <v/>
      </c>
      <c r="K35" s="14" t="str">
        <f t="shared" si="1"/>
        <v/>
      </c>
      <c r="L35" s="15" t="str">
        <f t="shared" si="2"/>
        <v/>
      </c>
      <c r="M35" s="15" t="str">
        <f t="shared" si="3"/>
        <v/>
      </c>
    </row>
    <row r="36" spans="1:13">
      <c r="A36" s="9"/>
      <c r="B36" s="9"/>
      <c r="C36" s="10"/>
      <c r="D36" s="10"/>
      <c r="E36" s="10"/>
      <c r="F36" s="10"/>
      <c r="G36" s="10"/>
      <c r="H36" s="10"/>
      <c r="I36" s="10"/>
      <c r="J36" s="14" t="str">
        <f t="shared" si="0"/>
        <v/>
      </c>
      <c r="K36" s="14" t="str">
        <f t="shared" si="1"/>
        <v/>
      </c>
      <c r="L36" s="15" t="str">
        <f t="shared" si="2"/>
        <v/>
      </c>
      <c r="M36" s="15" t="str">
        <f t="shared" si="3"/>
        <v/>
      </c>
    </row>
    <row r="37" spans="1:13">
      <c r="A37" s="9"/>
      <c r="B37" s="9"/>
      <c r="C37" s="10"/>
      <c r="D37" s="10"/>
      <c r="E37" s="10"/>
      <c r="F37" s="10"/>
      <c r="G37" s="10"/>
      <c r="H37" s="10"/>
      <c r="I37" s="10"/>
      <c r="J37" s="14" t="str">
        <f t="shared" si="0"/>
        <v/>
      </c>
      <c r="K37" s="14" t="str">
        <f t="shared" si="1"/>
        <v/>
      </c>
      <c r="L37" s="15" t="str">
        <f t="shared" si="2"/>
        <v/>
      </c>
      <c r="M37" s="15" t="str">
        <f t="shared" si="3"/>
        <v/>
      </c>
    </row>
    <row r="38" spans="1:13">
      <c r="A38" s="9"/>
      <c r="B38" s="9"/>
      <c r="C38" s="10"/>
      <c r="D38" s="10"/>
      <c r="E38" s="10"/>
      <c r="F38" s="10"/>
      <c r="G38" s="10"/>
      <c r="H38" s="10"/>
      <c r="I38" s="10"/>
      <c r="J38" s="14" t="str">
        <f t="shared" si="0"/>
        <v/>
      </c>
      <c r="K38" s="14" t="str">
        <f t="shared" si="1"/>
        <v/>
      </c>
      <c r="L38" s="15" t="str">
        <f t="shared" si="2"/>
        <v/>
      </c>
      <c r="M38" s="15" t="str">
        <f t="shared" si="3"/>
        <v/>
      </c>
    </row>
    <row r="39" spans="1:13">
      <c r="A39" s="9"/>
      <c r="B39" s="9"/>
      <c r="C39" s="10"/>
      <c r="D39" s="10"/>
      <c r="E39" s="10"/>
      <c r="F39" s="10"/>
      <c r="G39" s="10"/>
      <c r="H39" s="10"/>
      <c r="I39" s="10"/>
      <c r="J39" s="14" t="str">
        <f t="shared" si="0"/>
        <v/>
      </c>
      <c r="K39" s="14" t="str">
        <f t="shared" si="1"/>
        <v/>
      </c>
      <c r="L39" s="15" t="str">
        <f t="shared" si="2"/>
        <v/>
      </c>
      <c r="M39" s="15" t="str">
        <f t="shared" si="3"/>
        <v/>
      </c>
    </row>
    <row r="40" spans="1:13">
      <c r="A40" s="9"/>
      <c r="B40" s="9"/>
      <c r="C40" s="10"/>
      <c r="D40" s="10"/>
      <c r="E40" s="10"/>
      <c r="F40" s="10"/>
      <c r="G40" s="10"/>
      <c r="H40" s="10"/>
      <c r="I40" s="10"/>
      <c r="J40" s="14" t="str">
        <f t="shared" si="0"/>
        <v/>
      </c>
      <c r="K40" s="14" t="str">
        <f t="shared" si="1"/>
        <v/>
      </c>
      <c r="L40" s="15" t="str">
        <f t="shared" si="2"/>
        <v/>
      </c>
      <c r="M40" s="15" t="str">
        <f t="shared" si="3"/>
        <v/>
      </c>
    </row>
    <row r="41" spans="1:13">
      <c r="A41" s="9"/>
      <c r="B41" s="9"/>
      <c r="C41" s="10"/>
      <c r="D41" s="10"/>
      <c r="E41" s="10"/>
      <c r="F41" s="10"/>
      <c r="G41" s="10"/>
      <c r="H41" s="10"/>
      <c r="I41" s="10"/>
      <c r="J41" s="14" t="str">
        <f t="shared" si="0"/>
        <v/>
      </c>
      <c r="K41" s="14" t="str">
        <f t="shared" si="1"/>
        <v/>
      </c>
      <c r="L41" s="15" t="str">
        <f t="shared" si="2"/>
        <v/>
      </c>
      <c r="M41" s="15" t="str">
        <f t="shared" si="3"/>
        <v/>
      </c>
    </row>
    <row r="42" spans="1:13">
      <c r="A42" s="9"/>
      <c r="B42" s="9"/>
      <c r="C42" s="10"/>
      <c r="D42" s="10"/>
      <c r="E42" s="10"/>
      <c r="F42" s="10"/>
      <c r="G42" s="10"/>
      <c r="H42" s="10"/>
      <c r="I42" s="10"/>
      <c r="J42" s="14" t="str">
        <f t="shared" si="0"/>
        <v/>
      </c>
      <c r="K42" s="14" t="str">
        <f t="shared" si="1"/>
        <v/>
      </c>
      <c r="L42" s="15" t="str">
        <f t="shared" si="2"/>
        <v/>
      </c>
      <c r="M42" s="15" t="str">
        <f t="shared" si="3"/>
        <v/>
      </c>
    </row>
    <row r="43" spans="1:13">
      <c r="A43" s="9"/>
      <c r="B43" s="9"/>
      <c r="C43" s="10"/>
      <c r="D43" s="10"/>
      <c r="E43" s="10"/>
      <c r="F43" s="10"/>
      <c r="G43" s="10"/>
      <c r="H43" s="10"/>
      <c r="I43" s="10"/>
      <c r="J43" s="14" t="str">
        <f t="shared" si="0"/>
        <v/>
      </c>
      <c r="K43" s="14" t="str">
        <f t="shared" si="1"/>
        <v/>
      </c>
      <c r="L43" s="15" t="str">
        <f t="shared" si="2"/>
        <v/>
      </c>
      <c r="M43" s="15" t="str">
        <f t="shared" si="3"/>
        <v/>
      </c>
    </row>
  </sheetData>
  <dataValidations count="1">
    <dataValidation type="decimal" operator="between" allowBlank="1" showErrorMessage="1" error="Numbers only" sqref="C16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3"/>
  <sheetViews>
    <sheetView tabSelected="1" workbookViewId="0">
      <pane ySplit="3" topLeftCell="A4" activePane="bottomLeft" state="frozen"/>
      <selection/>
      <selection pane="bottomLeft" activeCell="D11" sqref="D11"/>
    </sheetView>
  </sheetViews>
  <sheetFormatPr defaultColWidth="8.68181818181818" defaultRowHeight="14.5" outlineLevelCol="4"/>
  <cols>
    <col min="1" max="1" width="14" customWidth="1"/>
    <col min="2" max="2" width="24" customWidth="1"/>
    <col min="3" max="3" width="12" customWidth="1"/>
    <col min="4" max="4" width="8" customWidth="1"/>
    <col min="5" max="5" width="101.818181818182" customWidth="1"/>
  </cols>
  <sheetData>
    <row r="1" ht="18" spans="1:5">
      <c r="A1" s="2" t="s">
        <v>163</v>
      </c>
    </row>
    <row r="2" spans="1:5">
      <c r="A2" s="3" t="s">
        <v>164</v>
      </c>
    </row>
    <row r="3" ht="30" customHeight="1" spans="1:5">
      <c r="A3" s="4" t="s">
        <v>165</v>
      </c>
      <c r="B3" s="4" t="s">
        <v>166</v>
      </c>
      <c r="C3" s="4" t="s">
        <v>105</v>
      </c>
      <c r="D3" s="4" t="s">
        <v>136</v>
      </c>
      <c r="E3" s="4" t="s">
        <v>167</v>
      </c>
    </row>
    <row r="4" s="1" customFormat="1" ht="17" customHeight="1" spans="1:5">
      <c r="A4" s="5" t="s">
        <v>168</v>
      </c>
      <c r="B4" s="5" t="s">
        <v>142</v>
      </c>
      <c r="C4" s="6">
        <v>46316</v>
      </c>
      <c r="D4" s="7">
        <v>2</v>
      </c>
      <c r="E4" s="8" t="s">
        <v>169</v>
      </c>
    </row>
    <row r="5" s="1" customFormat="1" ht="17" customHeight="1" spans="1:5">
      <c r="A5" s="5" t="s">
        <v>168</v>
      </c>
      <c r="B5" s="5" t="s">
        <v>142</v>
      </c>
      <c r="C5" s="6">
        <v>46316</v>
      </c>
      <c r="D5" s="7">
        <v>2</v>
      </c>
      <c r="E5" s="8" t="s">
        <v>170</v>
      </c>
    </row>
    <row r="6" spans="1:5">
      <c r="A6" s="9" t="s">
        <v>56</v>
      </c>
      <c r="B6" s="9" t="s">
        <v>171</v>
      </c>
      <c r="C6" s="6">
        <v>46317</v>
      </c>
      <c r="D6" s="10">
        <v>1</v>
      </c>
      <c r="E6" s="11" t="s">
        <v>172</v>
      </c>
    </row>
    <row r="7" ht="17" customHeight="1" spans="1:5">
      <c r="A7" s="9" t="s">
        <v>56</v>
      </c>
      <c r="B7" s="9" t="s">
        <v>173</v>
      </c>
      <c r="C7" s="6">
        <v>46316</v>
      </c>
      <c r="D7" s="10">
        <v>1</v>
      </c>
      <c r="E7" s="8" t="s">
        <v>174</v>
      </c>
    </row>
    <row r="8" spans="1:5">
      <c r="A8" s="9"/>
      <c r="B8" s="9"/>
      <c r="C8" s="12"/>
      <c r="D8" s="10"/>
      <c r="E8" s="11"/>
    </row>
    <row r="9" spans="1:5">
      <c r="A9" s="9"/>
      <c r="B9" s="9"/>
      <c r="C9" s="12"/>
      <c r="D9" s="10"/>
      <c r="E9" s="11"/>
    </row>
    <row r="10" spans="1:5">
      <c r="A10" s="9"/>
      <c r="B10" s="9"/>
      <c r="C10" s="12"/>
      <c r="D10" s="10"/>
      <c r="E10" s="11"/>
    </row>
    <row r="11" spans="1:5">
      <c r="A11" s="9"/>
      <c r="B11" s="9"/>
      <c r="C11" s="12"/>
      <c r="D11" s="10"/>
      <c r="E11" s="11"/>
    </row>
    <row r="12" spans="1:5">
      <c r="A12" s="9"/>
      <c r="B12" s="9"/>
      <c r="C12" s="12"/>
      <c r="D12" s="10"/>
      <c r="E12" s="11"/>
    </row>
    <row r="13" spans="1:5">
      <c r="A13" s="9"/>
      <c r="B13" s="9"/>
      <c r="C13" s="12"/>
      <c r="D13" s="10"/>
      <c r="E13" s="11"/>
    </row>
    <row r="14" spans="1:5">
      <c r="A14" s="9"/>
      <c r="B14" s="9"/>
      <c r="C14" s="12"/>
      <c r="D14" s="10"/>
      <c r="E14" s="11"/>
    </row>
    <row r="15" spans="1:5">
      <c r="A15" s="9"/>
      <c r="B15" s="9"/>
      <c r="C15" s="12"/>
      <c r="D15" s="10"/>
      <c r="E15" s="11"/>
    </row>
    <row r="16" spans="1:5">
      <c r="A16" s="9"/>
      <c r="B16" s="9"/>
      <c r="C16" s="12"/>
      <c r="D16" s="10"/>
      <c r="E16" s="11"/>
    </row>
    <row r="17" spans="1:5">
      <c r="A17" s="9"/>
      <c r="B17" s="9"/>
      <c r="C17" s="12"/>
      <c r="D17" s="10"/>
      <c r="E17" s="11"/>
    </row>
    <row r="18" spans="1:5">
      <c r="A18" s="9"/>
      <c r="B18" s="9"/>
      <c r="C18" s="12"/>
      <c r="D18" s="10"/>
      <c r="E18" s="11"/>
    </row>
    <row r="19" spans="1:5">
      <c r="A19" s="9"/>
      <c r="B19" s="9"/>
      <c r="C19" s="12"/>
      <c r="D19" s="10"/>
      <c r="E19" s="11"/>
    </row>
    <row r="20" spans="1:5">
      <c r="A20" s="9"/>
      <c r="B20" s="9"/>
      <c r="C20" s="12"/>
      <c r="D20" s="10"/>
      <c r="E20" s="11"/>
    </row>
    <row r="21" spans="1:5">
      <c r="A21" s="9"/>
      <c r="B21" s="9"/>
      <c r="C21" s="12"/>
      <c r="D21" s="10"/>
      <c r="E21" s="11"/>
    </row>
    <row r="22" spans="1:5">
      <c r="A22" s="9"/>
      <c r="B22" s="9"/>
      <c r="C22" s="12"/>
      <c r="D22" s="10"/>
      <c r="E22" s="11"/>
    </row>
    <row r="23" spans="1:5">
      <c r="A23" s="9"/>
      <c r="B23" s="9"/>
      <c r="C23" s="12"/>
      <c r="D23" s="10"/>
      <c r="E23" s="11"/>
    </row>
    <row r="24" spans="1:5">
      <c r="A24" s="9"/>
      <c r="B24" s="9"/>
      <c r="C24" s="12"/>
      <c r="D24" s="10"/>
      <c r="E24" s="11"/>
    </row>
    <row r="25" spans="1:5">
      <c r="A25" s="9"/>
      <c r="B25" s="9"/>
      <c r="C25" s="12"/>
      <c r="D25" s="10"/>
      <c r="E25" s="11"/>
    </row>
    <row r="26" spans="1:5">
      <c r="A26" s="9"/>
      <c r="B26" s="9"/>
      <c r="C26" s="12"/>
      <c r="D26" s="10"/>
      <c r="E26" s="11"/>
    </row>
    <row r="27" spans="1:5">
      <c r="A27" s="9"/>
      <c r="B27" s="9"/>
      <c r="C27" s="12"/>
      <c r="D27" s="10"/>
      <c r="E27" s="11"/>
    </row>
    <row r="28" spans="1:5">
      <c r="A28" s="9"/>
      <c r="B28" s="9"/>
      <c r="C28" s="12"/>
      <c r="D28" s="10"/>
      <c r="E28" s="11"/>
    </row>
    <row r="29" spans="1:5">
      <c r="A29" s="9"/>
      <c r="B29" s="9"/>
      <c r="C29" s="12"/>
      <c r="D29" s="10"/>
      <c r="E29" s="11"/>
    </row>
    <row r="30" spans="1:5">
      <c r="A30" s="9"/>
      <c r="B30" s="9"/>
      <c r="C30" s="12"/>
      <c r="D30" s="10"/>
      <c r="E30" s="11"/>
    </row>
    <row r="31" spans="1:5">
      <c r="A31" s="9"/>
      <c r="B31" s="9"/>
      <c r="C31" s="12"/>
      <c r="D31" s="10"/>
      <c r="E31" s="11"/>
    </row>
    <row r="32" spans="1:5">
      <c r="A32" s="9"/>
      <c r="B32" s="9"/>
      <c r="C32" s="12"/>
      <c r="D32" s="10"/>
      <c r="E32" s="11"/>
    </row>
    <row r="33" spans="1:5">
      <c r="A33" s="9"/>
      <c r="B33" s="9"/>
      <c r="C33" s="12"/>
      <c r="D33" s="10"/>
      <c r="E33" s="11"/>
    </row>
    <row r="34" spans="1:5">
      <c r="A34" s="9"/>
      <c r="B34" s="9"/>
      <c r="C34" s="12"/>
      <c r="D34" s="10"/>
      <c r="E34" s="11"/>
    </row>
    <row r="35" spans="1:5">
      <c r="A35" s="9"/>
      <c r="B35" s="9"/>
      <c r="C35" s="12"/>
      <c r="D35" s="10"/>
      <c r="E35" s="11"/>
    </row>
    <row r="36" spans="1:5">
      <c r="A36" s="9"/>
      <c r="B36" s="9"/>
      <c r="C36" s="12"/>
      <c r="D36" s="10"/>
      <c r="E36" s="11"/>
    </row>
    <row r="37" spans="1:5">
      <c r="A37" s="9"/>
      <c r="B37" s="9"/>
      <c r="C37" s="12"/>
      <c r="D37" s="10"/>
      <c r="E37" s="11"/>
    </row>
    <row r="38" spans="1:5">
      <c r="A38" s="9"/>
      <c r="B38" s="9"/>
      <c r="C38" s="12"/>
      <c r="D38" s="10"/>
      <c r="E38" s="11"/>
    </row>
    <row r="39" spans="1:5">
      <c r="A39" s="9"/>
      <c r="B39" s="9"/>
      <c r="C39" s="12"/>
      <c r="D39" s="10"/>
      <c r="E39" s="11"/>
    </row>
    <row r="40" spans="1:5">
      <c r="A40" s="9"/>
      <c r="B40" s="9"/>
      <c r="C40" s="12"/>
      <c r="D40" s="10"/>
      <c r="E40" s="11"/>
    </row>
    <row r="41" spans="1:5">
      <c r="A41" s="9"/>
      <c r="B41" s="9"/>
      <c r="C41" s="12"/>
      <c r="D41" s="10"/>
      <c r="E41" s="11"/>
    </row>
    <row r="42" spans="1:5">
      <c r="A42" s="9"/>
      <c r="B42" s="9"/>
      <c r="C42" s="12"/>
      <c r="D42" s="10"/>
      <c r="E42" s="11"/>
    </row>
    <row r="43" spans="1:5">
      <c r="A43" s="9"/>
      <c r="B43" s="9"/>
      <c r="C43" s="12"/>
      <c r="D43" s="10"/>
      <c r="E43" s="11"/>
    </row>
    <row r="44" spans="1:5">
      <c r="A44" s="9"/>
      <c r="B44" s="9"/>
      <c r="C44" s="12"/>
      <c r="D44" s="10"/>
      <c r="E44" s="11"/>
    </row>
    <row r="45" spans="1:5">
      <c r="A45" s="9"/>
      <c r="B45" s="9"/>
      <c r="C45" s="12"/>
      <c r="D45" s="10"/>
      <c r="E45" s="11"/>
    </row>
    <row r="46" spans="1:5">
      <c r="A46" s="9"/>
      <c r="B46" s="9"/>
      <c r="C46" s="12"/>
      <c r="D46" s="10"/>
      <c r="E46" s="11"/>
    </row>
    <row r="47" spans="1:5">
      <c r="A47" s="9"/>
      <c r="B47" s="9"/>
      <c r="C47" s="12"/>
      <c r="D47" s="10"/>
      <c r="E47" s="11"/>
    </row>
    <row r="48" spans="1:5">
      <c r="A48" s="9"/>
      <c r="B48" s="9"/>
      <c r="C48" s="12"/>
      <c r="D48" s="10"/>
      <c r="E48" s="11"/>
    </row>
    <row r="49" spans="1:5">
      <c r="A49" s="9"/>
      <c r="B49" s="9"/>
      <c r="C49" s="12"/>
      <c r="D49" s="10"/>
      <c r="E49" s="11"/>
    </row>
    <row r="50" spans="1:5">
      <c r="A50" s="9"/>
      <c r="B50" s="9"/>
      <c r="C50" s="12"/>
      <c r="D50" s="10"/>
      <c r="E50" s="11"/>
    </row>
    <row r="51" spans="1:5">
      <c r="A51" s="9"/>
      <c r="B51" s="9"/>
      <c r="C51" s="12"/>
      <c r="D51" s="10"/>
      <c r="E51" s="11"/>
    </row>
    <row r="52" spans="1:5">
      <c r="A52" s="9"/>
      <c r="B52" s="9"/>
      <c r="C52" s="12"/>
      <c r="D52" s="10"/>
      <c r="E52" s="11"/>
    </row>
    <row r="53" spans="1:5">
      <c r="A53" s="9"/>
      <c r="B53" s="9"/>
      <c r="C53" s="12"/>
      <c r="D53" s="10"/>
      <c r="E53" s="11"/>
    </row>
    <row r="54" spans="1:5">
      <c r="A54" s="9"/>
      <c r="B54" s="9"/>
      <c r="C54" s="12"/>
      <c r="D54" s="10"/>
      <c r="E54" s="11"/>
    </row>
    <row r="55" spans="1:5">
      <c r="A55" s="9"/>
      <c r="B55" s="9"/>
      <c r="C55" s="12"/>
      <c r="D55" s="10"/>
      <c r="E55" s="11"/>
    </row>
    <row r="56" spans="1:5">
      <c r="A56" s="9"/>
      <c r="B56" s="9"/>
      <c r="C56" s="12"/>
      <c r="D56" s="10"/>
      <c r="E56" s="11"/>
    </row>
    <row r="57" spans="1:5">
      <c r="A57" s="9"/>
      <c r="B57" s="9"/>
      <c r="C57" s="12"/>
      <c r="D57" s="10"/>
      <c r="E57" s="11"/>
    </row>
    <row r="58" spans="1:5">
      <c r="A58" s="9"/>
      <c r="B58" s="9"/>
      <c r="C58" s="12"/>
      <c r="D58" s="10"/>
      <c r="E58" s="11"/>
    </row>
    <row r="59" spans="1:5">
      <c r="A59" s="9"/>
      <c r="B59" s="9"/>
      <c r="C59" s="12"/>
      <c r="D59" s="10"/>
      <c r="E59" s="11"/>
    </row>
    <row r="60" spans="1:5">
      <c r="A60" s="9"/>
      <c r="B60" s="9"/>
      <c r="C60" s="12"/>
      <c r="D60" s="10"/>
      <c r="E60" s="11"/>
    </row>
    <row r="61" spans="1:5">
      <c r="A61" s="9"/>
      <c r="B61" s="9"/>
      <c r="C61" s="12"/>
      <c r="D61" s="10"/>
      <c r="E61" s="11"/>
    </row>
    <row r="62" spans="1:5">
      <c r="A62" s="9"/>
      <c r="B62" s="9"/>
      <c r="C62" s="12"/>
      <c r="D62" s="10"/>
      <c r="E62" s="11"/>
    </row>
    <row r="63" spans="1:5">
      <c r="A63" s="9"/>
      <c r="B63" s="9"/>
      <c r="C63" s="12"/>
      <c r="D63" s="10"/>
      <c r="E63" s="11"/>
    </row>
  </sheetData>
  <dataValidations count="3">
    <dataValidation type="list" allowBlank="1" showErrorMessage="1" error="Pick a value from the list" sqref="A4:A63">
      <formula1>"Fleet,FTTx,FTTx pending"</formula1>
    </dataValidation>
    <dataValidation type="date" operator="greaterThan" allowBlank="1" showErrorMessage="1" error="Enter a date, e.g. 16-Oct-2026" sqref="C4:C63">
      <formula1>45000</formula1>
    </dataValidation>
    <dataValidation type="decimal" operator="between" allowBlank="1" showErrorMessage="1" error="Numbers only" sqref="D4:D6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Frontiir</cp:lastModifiedBy>
  <cp:revision>0</cp:revision>
  <dcterms:created xsi:type="dcterms:W3CDTF">2026-10-20T11:36:00Z</dcterms:created>
  <dcterms:modified xsi:type="dcterms:W3CDTF">2026-10-22T06:38:54Z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EE912DC3E2C348F3B8060D664936AF4F_12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