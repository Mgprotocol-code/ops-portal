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eport info" sheetId="2" state="visible" r:id="rId4"/>
    <sheet name="Fleet by team" sheetId="3" state="visible" r:id="rId5"/>
    <sheet name="Office cars" sheetId="4" state="visible" r:id="rId6"/>
    <sheet name="City cars" sheetId="5" state="visible" r:id="rId7"/>
    <sheet name="Fleet notes" sheetId="6" state="visible" r:id="rId8"/>
    <sheet name="FTTx blog" sheetId="7" state="visible" r:id="rId9"/>
    <sheet name="Cable works" sheetId="8" state="visible" r:id="rId10"/>
    <sheet name="Pending sites" sheetId="9" state="visible" r:id="rId11"/>
    <sheet name="Box-Ops" sheetId="10" state="visible" r:id="rId12"/>
    <sheet name="Remar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<sst xmlns="http://schemas.openxmlformats.org/spreadsheetml/2006/main" count="279" uniqueCount="182">
  <si>
    <t xml:space="preserve">Operation Daily Report – upload template</t>
  </si>
  <si>
    <t xml:space="preserve">Fill this workbook every day, then upload it in the portal (Upload daily Excel button, top of the page).</t>
  </si>
  <si>
    <t xml:space="preserve">How to fill</t>
  </si>
  <si>
    <t xml:space="preserve">1. Start on 'Report info': set the report date and the time of each section.</t>
  </si>
  <si>
    <t xml:space="preserve">2. Fill each sheet from row 4 down. One row per item. Leave unused rows empty.</t>
  </si>
  <si>
    <t xml:space="preserve">3. Do not rename sheets, do not change header names (row 3), do not insert columns.</t>
  </si>
  <si>
    <t xml:space="preserve">4. Do not add total rows – the portal calculates all totals, subtotals and percentages.</t>
  </si>
  <si>
    <t xml:space="preserve">5. Use the dropdowns where offered (Priority, Stage, Type, Area).</t>
  </si>
  <si>
    <t xml:space="preserve">6. Save as .xlsx and upload. The portal checks the file and shows any problem before publishing.</t>
  </si>
  <si>
    <t xml:space="preserve">Cell colours</t>
  </si>
  <si>
    <t xml:space="preserve">Yellow = you fill it in.</t>
  </si>
  <si>
    <t xml:space="preserve">Grey = calculated automatically (for your checking only, not uploaded).</t>
  </si>
  <si>
    <t xml:space="preserve">Teal header = column name the portal reads. Keep it exactly as it is.</t>
  </si>
  <si>
    <t xml:space="preserve">The workbook is pre-filled with the 16 Oct 2026 report as an example. Overwrite it with each day's figures.</t>
  </si>
  <si>
    <t xml:space="preserve">Report info</t>
  </si>
  <si>
    <t xml:space="preserve">Date and time of each section, as printed on the report.</t>
  </si>
  <si>
    <t xml:space="preserve">Item</t>
  </si>
  <si>
    <t xml:space="preserve">Value</t>
  </si>
  <si>
    <t xml:space="preserve">Report date</t>
  </si>
  <si>
    <t xml:space="preserve">Fleet time</t>
  </si>
  <si>
    <t xml:space="preserve">11:00 AM</t>
  </si>
  <si>
    <t xml:space="preserve">City time</t>
  </si>
  <si>
    <t xml:space="preserve">9:00 PM</t>
  </si>
  <si>
    <t xml:space="preserve">FTTx time</t>
  </si>
  <si>
    <t xml:space="preserve">9:00 AM</t>
  </si>
  <si>
    <t xml:space="preserve">Box-Ops time</t>
  </si>
  <si>
    <t xml:space="preserve">10:00 AM</t>
  </si>
  <si>
    <t xml:space="preserve">Fleet by team</t>
  </si>
  <si>
    <t xml:space="preserve">Car request / plan / actual per YGN team. One row per team.</t>
  </si>
  <si>
    <t xml:space="preserve">Priority</t>
  </si>
  <si>
    <t xml:space="preserve">Team</t>
  </si>
  <si>
    <t xml:space="preserve">Request</t>
  </si>
  <si>
    <t xml:space="preserve">Plan</t>
  </si>
  <si>
    <t xml:space="preserve">Actual</t>
  </si>
  <si>
    <t xml:space="preserve">Actual %</t>
  </si>
  <si>
    <t xml:space="preserve">P1~3</t>
  </si>
  <si>
    <t xml:space="preserve">BC-SbS</t>
  </si>
  <si>
    <t xml:space="preserve">FiberOps</t>
  </si>
  <si>
    <t xml:space="preserve">FieldOps</t>
  </si>
  <si>
    <t xml:space="preserve">LANOps-DIA</t>
  </si>
  <si>
    <t xml:space="preserve">MnEOps</t>
  </si>
  <si>
    <t xml:space="preserve">P4~5</t>
  </si>
  <si>
    <t xml:space="preserve">FTTHOps1</t>
  </si>
  <si>
    <t xml:space="preserve">FTTHOps2</t>
  </si>
  <si>
    <t xml:space="preserve">P6</t>
  </si>
  <si>
    <t xml:space="preserve">BoxOps1</t>
  </si>
  <si>
    <t xml:space="preserve">BoxOps2</t>
  </si>
  <si>
    <t xml:space="preserve">P7</t>
  </si>
  <si>
    <t xml:space="preserve">FieldOps-SbS2</t>
  </si>
  <si>
    <t xml:space="preserve">P8</t>
  </si>
  <si>
    <t xml:space="preserve">Fiber</t>
  </si>
  <si>
    <t xml:space="preserve">FiberW</t>
  </si>
  <si>
    <t xml:space="preserve">P9-Non Priority</t>
  </si>
  <si>
    <t xml:space="preserve">Facility</t>
  </si>
  <si>
    <t xml:space="preserve">FinSbS2</t>
  </si>
  <si>
    <t xml:space="preserve">Fleet</t>
  </si>
  <si>
    <t xml:space="preserve">Impl-QC</t>
  </si>
  <si>
    <t xml:space="preserve">Impl-SbS</t>
  </si>
  <si>
    <t xml:space="preserve">PMOps</t>
  </si>
  <si>
    <t xml:space="preserve">Procurement</t>
  </si>
  <si>
    <t xml:space="preserve">Reseller-SbS</t>
  </si>
  <si>
    <t xml:space="preserve">SiteLease</t>
  </si>
  <si>
    <t xml:space="preserve">StraOps</t>
  </si>
  <si>
    <t xml:space="preserve">Treasury-GC</t>
  </si>
  <si>
    <t xml:space="preserve">Office cars</t>
  </si>
  <si>
    <t xml:space="preserve">Office car assignment per OU (day and night shift).</t>
  </si>
  <si>
    <t xml:space="preserve">OU</t>
  </si>
  <si>
    <t xml:space="preserve">Day</t>
  </si>
  <si>
    <t xml:space="preserve">Night</t>
  </si>
  <si>
    <t xml:space="preserve">Total</t>
  </si>
  <si>
    <t xml:space="preserve">City cars</t>
  </si>
  <si>
    <t xml:space="preserve">Car request vs actual per city. Do NOT add an All Cities row – the portal adds it.</t>
  </si>
  <si>
    <t xml:space="preserve">City</t>
  </si>
  <si>
    <t xml:space="preserve">YGN</t>
  </si>
  <si>
    <t xml:space="preserve">BOB</t>
  </si>
  <si>
    <t xml:space="preserve">MAM</t>
  </si>
  <si>
    <t xml:space="preserve">MDY</t>
  </si>
  <si>
    <t xml:space="preserve">MEO</t>
  </si>
  <si>
    <t xml:space="preserve">MYW</t>
  </si>
  <si>
    <t xml:space="preserve">NPW</t>
  </si>
  <si>
    <t xml:space="preserve">TIS</t>
  </si>
  <si>
    <t xml:space="preserve">TOB</t>
  </si>
  <si>
    <t xml:space="preserve">Fleet notes</t>
  </si>
  <si>
    <t xml:space="preserve">Keep the Item names exactly as written; fill the Cars column.</t>
  </si>
  <si>
    <t xml:space="preserve">Cars</t>
  </si>
  <si>
    <t xml:space="preserve">Plan above actual</t>
  </si>
  <si>
    <t xml:space="preserve">Driver leave / site cancel</t>
  </si>
  <si>
    <t xml:space="preserve">Diff</t>
  </si>
  <si>
    <t xml:space="preserve">Office car (day + night)</t>
  </si>
  <si>
    <t xml:space="preserve">Contract car</t>
  </si>
  <si>
    <t xml:space="preserve">FTTx blog</t>
  </si>
  <si>
    <t xml:space="preserve">Today’s blog per FTTx region.</t>
  </si>
  <si>
    <t xml:space="preserve">Region</t>
  </si>
  <si>
    <t xml:space="preserve">Car</t>
  </si>
  <si>
    <t xml:space="preserve">Broken / high-loss</t>
  </si>
  <si>
    <t xml:space="preserve">Migration / activities</t>
  </si>
  <si>
    <t xml:space="preserve">Remain / pending</t>
  </si>
  <si>
    <t xml:space="preserve">YGN-R1/R1s</t>
  </si>
  <si>
    <t xml:space="preserve">YGN-R2/R2s</t>
  </si>
  <si>
    <t xml:space="preserve">YGN-R2(HRY)</t>
  </si>
  <si>
    <t xml:space="preserve">YGN-Night</t>
  </si>
  <si>
    <t xml:space="preserve">Cable works</t>
  </si>
  <si>
    <t xml:space="preserve">Cable cutting / cleaning. Stage = Done (yesterday) or Plan (today).</t>
  </si>
  <si>
    <t xml:space="preserve">Stage</t>
  </si>
  <si>
    <t xml:space="preserve">Date</t>
  </si>
  <si>
    <t xml:space="preserve">Township</t>
  </si>
  <si>
    <t xml:space="preserve">Type</t>
  </si>
  <si>
    <t xml:space="preserve">Street and road</t>
  </si>
  <si>
    <t xml:space="preserve">HC</t>
  </si>
  <si>
    <t xml:space="preserve">Labour</t>
  </si>
  <si>
    <t xml:space="preserve">Impact OLT</t>
  </si>
  <si>
    <t xml:space="preserve">Impact CA1</t>
  </si>
  <si>
    <t xml:space="preserve">Impact CA2/OTB</t>
  </si>
  <si>
    <t xml:space="preserve">Done</t>
  </si>
  <si>
    <t xml:space="preserve">R2S</t>
  </si>
  <si>
    <t xml:space="preserve">NNY</t>
  </si>
  <si>
    <t xml:space="preserve">Cable Cutting</t>
  </si>
  <si>
    <t xml:space="preserve">(၄၅) ရပ်ကွက် မင်းရဲကျော်စွာလမ်းထောင့် (ခိုင်ရွှေဝါလမ်း)</t>
  </si>
  <si>
    <t xml:space="preserve">PGY</t>
  </si>
  <si>
    <t xml:space="preserve">Cable Cleaning</t>
  </si>
  <si>
    <t xml:space="preserve">ရွှေအိုးရပ်ကွက် ဆားလင်းပရိယတ္တိစာသင်တိုက်ရှေ့ (အထက်ပုစွန်တောင်လမ်း)</t>
  </si>
  <si>
    <t xml:space="preserve">KGY</t>
  </si>
  <si>
    <t xml:space="preserve">သီတာရပ်ကွက် အောက်ကြည့်မြင့်တိုင်လမ်းထောင့် (သီတာလမ်း)</t>
  </si>
  <si>
    <t xml:space="preserve">R2</t>
  </si>
  <si>
    <t xml:space="preserve">HGY</t>
  </si>
  <si>
    <t xml:space="preserve">(၁၃) ရပ်ကွက် သီရိမြိုင်၇လမ်းထောင့် (သီရိမြိုင်၈လမ်း)</t>
  </si>
  <si>
    <t xml:space="preserve">R1</t>
  </si>
  <si>
    <t xml:space="preserve">SAY</t>
  </si>
  <si>
    <t xml:space="preserve">asdfasdfas</t>
  </si>
  <si>
    <t xml:space="preserve">BGY</t>
  </si>
  <si>
    <t xml:space="preserve">yuiluy</t>
  </si>
  <si>
    <t xml:space="preserve">NAY</t>
  </si>
  <si>
    <t xml:space="preserve">asdfas</t>
  </si>
  <si>
    <t xml:space="preserve">Pending sites</t>
  </si>
  <si>
    <t xml:space="preserve">Sites still pending from yesterday, by reason.</t>
  </si>
  <si>
    <t xml:space="preserve">Reason</t>
  </si>
  <si>
    <t xml:space="preserve">Case</t>
  </si>
  <si>
    <t xml:space="preserve">Sites</t>
  </si>
  <si>
    <t xml:space="preserve">Pending @ Site Lease</t>
  </si>
  <si>
    <t xml:space="preserve">CA2</t>
  </si>
  <si>
    <t xml:space="preserve">Pending @ Gov</t>
  </si>
  <si>
    <t xml:space="preserve">Pending @ Ops</t>
  </si>
  <si>
    <t xml:space="preserve">Permission issue</t>
  </si>
  <si>
    <t xml:space="preserve">Remain CA2</t>
  </si>
  <si>
    <t xml:space="preserve">Box-Ops</t>
  </si>
  <si>
    <t xml:space="preserve">One row per township. Do NOT add region total rows – the portal adds subtotals.</t>
  </si>
  <si>
    <t xml:space="preserve">Ticket blog</t>
  </si>
  <si>
    <t xml:space="preserve">Plan tkts</t>
  </si>
  <si>
    <t xml:space="preserve">POI blog</t>
  </si>
  <si>
    <t xml:space="preserve">Plan POI</t>
  </si>
  <si>
    <t xml:space="preserve">SI team</t>
  </si>
  <si>
    <t xml:space="preserve">Plan % tkt</t>
  </si>
  <si>
    <t xml:space="preserve">Plan % POI</t>
  </si>
  <si>
    <t xml:space="preserve">Car/Team</t>
  </si>
  <si>
    <t xml:space="preserve">Team/Labour</t>
  </si>
  <si>
    <t xml:space="preserve">TAY</t>
  </si>
  <si>
    <t xml:space="preserve">TNY</t>
  </si>
  <si>
    <t xml:space="preserve">R1s</t>
  </si>
  <si>
    <t xml:space="preserve">DOY</t>
  </si>
  <si>
    <t xml:space="preserve">MTY</t>
  </si>
  <si>
    <t xml:space="preserve">TEY</t>
  </si>
  <si>
    <t xml:space="preserve">OPI</t>
  </si>
  <si>
    <t xml:space="preserve">R1O</t>
  </si>
  <si>
    <t xml:space="preserve">Remarks</t>
  </si>
  <si>
    <t xml:space="preserve">Every remark. Area: Fleet, FTTx or FTTx pending. Topic “Car in workshop” is counted on the Overview.</t>
  </si>
  <si>
    <t xml:space="preserve">Area</t>
  </si>
  <si>
    <t xml:space="preserve">Topic</t>
  </si>
  <si>
    <t xml:space="preserve">Remark</t>
  </si>
  <si>
    <t xml:space="preserve">Car in workshop</t>
  </si>
  <si>
    <t xml:space="preserve">5R/7098 &gt; Fleet (Workshop)</t>
  </si>
  <si>
    <t xml:space="preserve">9S/4277 &gt; Fleet (Workshop)</t>
  </si>
  <si>
    <t xml:space="preserve">FTTx</t>
  </si>
  <si>
    <t xml:space="preserve">Team support</t>
  </si>
  <si>
    <t xml:space="preserve">To help Fiber W-1 (TOB)</t>
  </si>
  <si>
    <t xml:space="preserve">FTTx pending</t>
  </si>
  <si>
    <t xml:space="preserve">Pending @ Site Lease &gt;&gt;&gt; CA2 – 4 sites (no detail remark in report)</t>
  </si>
  <si>
    <t xml:space="preserve">TAY မြို့နယ်တွင် အနော်မာ(၄)လမ်းထိပ်မှာ မီးလောင်နေ၍ ကြိုးဆွဲခွင့်မပြုတာပါ/ ဒီနေ့ ပြန်ဝင်လုပ်နေပါပြီ (CA1 Broken- 1 site)</t>
  </si>
  <si>
    <t xml:space="preserve">HRY မြို့နယ်တွင်24C BB cable (BJ#122ZHRY &amp; SJ#771ZHRY)ပျက်တာပါ၊ FiberOps teamနဲ့ ကြိုးပေါင်းဆွဲရမှာ (CA2 Broken -1 site)</t>
  </si>
  <si>
    <t xml:space="preserve">LAY မြို့နယ်တွင် ညနေ 5:00 PM နောက်ပိုင်းဝင်ခွင့်မရပါ၊ ဒီနေ့ ပြန်ဝင်လုပ်နေပါပြီ (CA1 Broken- 1 site)</t>
  </si>
  <si>
    <t xml:space="preserve">Remain CA2 broken</t>
  </si>
  <si>
    <t xml:space="preserve">TNY &amp; SAY မြို့နယ်တွင် Ns Engr က CA1 Broken များသွားရှင်းနေရသောကြောင့် အချိန်မမှီလို့မရောက်ခဲ့တာပါ (CA2 Broken - 2 sites)</t>
  </si>
  <si>
    <t xml:space="preserve">HRY မြို့နယ်တွင် Blog က 7:00 PM မှဝင်လာတာပါ၊ NS team မရှိပါ (CA2 Broken - 2 sites)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</si>
</sst>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"/>
    <numFmt numFmtId="167" formatCode="0%"/>
    <numFmt numFmtId="168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6F78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4"/>
      <color rgb="FF1F6F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EDEDED"/>
        <bgColor rgb="FFFFF8DC"/>
      </patternFill>
    </fill>
    <fill>
      <patternFill patternType="solid">
        <fgColor rgb="FF1F6F78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BFBFBF"/>
      <rgbColor rgb="FF808080"/>
      <rgbColor rgb="FF9999FF"/>
      <rgbColor rgb="FF993366"/>
      <rgbColor rgb="FFFFF8D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A14" s="4"/>
      <c r="B14" s="2" t="s">
        <v>10</v>
      </c>
    </row>
    <row r="15" customFormat="false" ht="15" hidden="false" customHeight="false" outlineLevel="0" collapsed="false">
      <c r="A15" s="5"/>
      <c r="B15" s="2" t="s">
        <v>11</v>
      </c>
    </row>
    <row r="16" customFormat="false" ht="15" hidden="false" customHeight="false" outlineLevel="0" collapsed="false">
      <c r="A16" s="6"/>
      <c r="B16" s="2" t="s">
        <v>12</v>
      </c>
    </row>
    <row r="18" customFormat="false" ht="15" hidden="false" customHeight="false" outlineLevel="0" collapsed="false">
      <c r="B18" s="7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</cols>
  <sheetData>
    <row r="1" customFormat="false" ht="17.35" hidden="false" customHeight="false" outlineLevel="0" collapsed="false">
      <c r="A1" s="8" t="s">
        <v>14</v>
      </c>
    </row>
    <row r="2" customFormat="false" ht="15" hidden="false" customHeight="false" outlineLevel="0" collapsed="false">
      <c r="A2" s="7" t="s">
        <v>15</v>
      </c>
    </row>
    <row r="3" customFormat="false" ht="15" hidden="false" customHeight="false" outlineLevel="0" collapsed="false">
      <c r="A3" s="9" t="s">
        <v>16</v>
      </c>
      <c r="B3" s="9" t="s">
        <v>17</v>
      </c>
    </row>
    <row r="4" customFormat="false" ht="15" hidden="false" customHeight="false" outlineLevel="0" collapsed="false">
      <c r="A4" s="10" t="s">
        <v>18</v>
      </c>
      <c r="B4" s="11" t="n">
        <v>46311</v>
      </c>
    </row>
    <row r="5" customFormat="false" ht="15" hidden="false" customHeight="false" outlineLevel="0" collapsed="false">
      <c r="A5" s="10" t="s">
        <v>19</v>
      </c>
      <c r="B5" s="12" t="s">
        <v>20</v>
      </c>
    </row>
    <row r="6" customFormat="false" ht="15" hidden="false" customHeight="false" outlineLevel="0" collapsed="false">
      <c r="A6" s="10" t="s">
        <v>21</v>
      </c>
      <c r="B6" s="12" t="s">
        <v>22</v>
      </c>
    </row>
    <row r="7" customFormat="false" ht="15" hidden="false" customHeight="false" outlineLevel="0" collapsed="false">
      <c r="A7" s="10" t="s">
        <v>23</v>
      </c>
      <c r="B7" s="12" t="s">
        <v>24</v>
      </c>
    </row>
    <row r="8" customFormat="false" ht="15" hidden="false" customHeight="false" outlineLevel="0" collapsed="false">
      <c r="A8" s="10" t="s">
        <v>25</v>
      </c>
      <c r="B8" s="12" t="s">
        <v>26</v>
      </c>
    </row>
  </sheetData>
  <dataValidations count="1">
    <dataValidation allowBlank="false" error="Enter a date, e.g. 16-Oct-2026" errorStyle="stop" operator="greaterThan" showDropDown="false" showErrorMessage="true" showInputMessage="false" sqref="B4" type="date">
      <formula1>45000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6" min="3" style="0" width="11"/>
  </cols>
  <sheetData>
    <row r="1" customFormat="false" ht="17.35" hidden="false" customHeight="false" outlineLevel="0" collapsed="false">
      <c r="A1" s="8" t="s">
        <v>27</v>
      </c>
    </row>
    <row r="2" customFormat="false" ht="15" hidden="false" customHeight="false" outlineLevel="0" collapsed="false">
      <c r="A2" s="7" t="s">
        <v>28</v>
      </c>
    </row>
    <row r="3" customFormat="false" ht="30" hidden="false" customHeight="true" outlineLevel="0" collapsed="false">
      <c r="A3" s="13" t="s">
        <v>29</v>
      </c>
      <c r="B3" s="13" t="s">
        <v>30</v>
      </c>
      <c r="C3" s="13" t="s">
        <v>31</v>
      </c>
      <c r="D3" s="13" t="s">
        <v>32</v>
      </c>
      <c r="E3" s="13" t="s">
        <v>33</v>
      </c>
      <c r="F3" s="13" t="s">
        <v>34</v>
      </c>
    </row>
    <row r="4" customFormat="false" ht="15" hidden="false" customHeight="false" outlineLevel="0" collapsed="false">
      <c r="A4" s="12" t="s">
        <v>35</v>
      </c>
      <c r="B4" s="12" t="s">
        <v>36</v>
      </c>
      <c r="C4" s="14" t="n">
        <v>4</v>
      </c>
      <c r="D4" s="14" t="n">
        <v>4</v>
      </c>
      <c r="E4" s="14" t="n">
        <v>4</v>
      </c>
      <c r="F4" s="15" t="n">
        <f aca="false">IF(C4&gt;0,E4/C4,"")</f>
        <v>1</v>
      </c>
    </row>
    <row r="5" customFormat="false" ht="15" hidden="false" customHeight="false" outlineLevel="0" collapsed="false">
      <c r="A5" s="12" t="s">
        <v>35</v>
      </c>
      <c r="B5" s="12" t="s">
        <v>37</v>
      </c>
      <c r="C5" s="14" t="n">
        <v>7</v>
      </c>
      <c r="D5" s="14" t="n">
        <v>7</v>
      </c>
      <c r="E5" s="14" t="n">
        <v>7</v>
      </c>
      <c r="F5" s="15" t="n">
        <f aca="false">IF(C5&gt;0,E5/C5,"")</f>
        <v>1</v>
      </c>
    </row>
    <row r="6" customFormat="false" ht="15" hidden="false" customHeight="false" outlineLevel="0" collapsed="false">
      <c r="A6" s="12" t="s">
        <v>35</v>
      </c>
      <c r="B6" s="12" t="s">
        <v>38</v>
      </c>
      <c r="C6" s="14" t="n">
        <v>3</v>
      </c>
      <c r="D6" s="14" t="n">
        <v>3</v>
      </c>
      <c r="E6" s="14" t="n">
        <v>3</v>
      </c>
      <c r="F6" s="15" t="n">
        <f aca="false">IF(C6&gt;0,E6/C6,"")</f>
        <v>1</v>
      </c>
    </row>
    <row r="7" customFormat="false" ht="15" hidden="false" customHeight="false" outlineLevel="0" collapsed="false">
      <c r="A7" s="12" t="s">
        <v>35</v>
      </c>
      <c r="B7" s="12" t="s">
        <v>39</v>
      </c>
      <c r="C7" s="14" t="n">
        <v>6</v>
      </c>
      <c r="D7" s="14" t="n">
        <v>7</v>
      </c>
      <c r="E7" s="14" t="n">
        <v>6</v>
      </c>
      <c r="F7" s="15" t="n">
        <f aca="false">IF(C7&gt;0,E7/C7,"")</f>
        <v>1</v>
      </c>
    </row>
    <row r="8" customFormat="false" ht="15" hidden="false" customHeight="false" outlineLevel="0" collapsed="false">
      <c r="A8" s="12" t="s">
        <v>35</v>
      </c>
      <c r="B8" s="12" t="s">
        <v>40</v>
      </c>
      <c r="C8" s="14" t="n">
        <v>4</v>
      </c>
      <c r="D8" s="14" t="n">
        <v>4</v>
      </c>
      <c r="E8" s="14" t="n">
        <v>4</v>
      </c>
      <c r="F8" s="15" t="n">
        <f aca="false">IF(C8&gt;0,E8/C8,"")</f>
        <v>1</v>
      </c>
    </row>
    <row r="9" customFormat="false" ht="15" hidden="false" customHeight="false" outlineLevel="0" collapsed="false">
      <c r="A9" s="12" t="s">
        <v>41</v>
      </c>
      <c r="B9" s="12" t="s">
        <v>42</v>
      </c>
      <c r="C9" s="14" t="n">
        <v>6</v>
      </c>
      <c r="D9" s="14" t="n">
        <v>6</v>
      </c>
      <c r="E9" s="14" t="n">
        <v>6</v>
      </c>
      <c r="F9" s="15" t="n">
        <f aca="false">IF(C9&gt;0,E9/C9,"")</f>
        <v>1</v>
      </c>
    </row>
    <row r="10" customFormat="false" ht="15" hidden="false" customHeight="false" outlineLevel="0" collapsed="false">
      <c r="A10" s="12" t="s">
        <v>41</v>
      </c>
      <c r="B10" s="12" t="s">
        <v>43</v>
      </c>
      <c r="C10" s="14" t="n">
        <v>13</v>
      </c>
      <c r="D10" s="14" t="n">
        <v>13</v>
      </c>
      <c r="E10" s="14" t="n">
        <v>13</v>
      </c>
      <c r="F10" s="15" t="n">
        <f aca="false">IF(C10&gt;0,E10/C10,"")</f>
        <v>1</v>
      </c>
    </row>
    <row r="11" customFormat="false" ht="15" hidden="false" customHeight="false" outlineLevel="0" collapsed="false">
      <c r="A11" s="12" t="s">
        <v>44</v>
      </c>
      <c r="B11" s="12" t="s">
        <v>45</v>
      </c>
      <c r="C11" s="14" t="n">
        <v>24</v>
      </c>
      <c r="D11" s="14" t="n">
        <v>25</v>
      </c>
      <c r="E11" s="14" t="n">
        <v>24</v>
      </c>
      <c r="F11" s="15" t="n">
        <f aca="false">IF(C11&gt;0,E11/C11,"")</f>
        <v>1</v>
      </c>
    </row>
    <row r="12" customFormat="false" ht="15" hidden="false" customHeight="false" outlineLevel="0" collapsed="false">
      <c r="A12" s="12" t="s">
        <v>44</v>
      </c>
      <c r="B12" s="12" t="s">
        <v>46</v>
      </c>
      <c r="C12" s="14" t="n">
        <v>40</v>
      </c>
      <c r="D12" s="14" t="n">
        <v>41</v>
      </c>
      <c r="E12" s="14" t="n">
        <v>40</v>
      </c>
      <c r="F12" s="15" t="n">
        <f aca="false">IF(C12&gt;0,E12/C12,"")</f>
        <v>1</v>
      </c>
    </row>
    <row r="13" customFormat="false" ht="15" hidden="false" customHeight="false" outlineLevel="0" collapsed="false">
      <c r="A13" s="12" t="s">
        <v>47</v>
      </c>
      <c r="B13" s="12" t="s">
        <v>48</v>
      </c>
      <c r="C13" s="14" t="n">
        <v>13</v>
      </c>
      <c r="D13" s="14" t="n">
        <v>13</v>
      </c>
      <c r="E13" s="14" t="n">
        <v>13</v>
      </c>
      <c r="F13" s="15" t="n">
        <f aca="false">IF(C13&gt;0,E13/C13,"")</f>
        <v>1</v>
      </c>
    </row>
    <row r="14" customFormat="false" ht="15" hidden="false" customHeight="false" outlineLevel="0" collapsed="false">
      <c r="A14" s="12" t="s">
        <v>49</v>
      </c>
      <c r="B14" s="12" t="s">
        <v>50</v>
      </c>
      <c r="C14" s="14" t="n">
        <v>5</v>
      </c>
      <c r="D14" s="14" t="n">
        <v>5</v>
      </c>
      <c r="E14" s="14" t="n">
        <v>5</v>
      </c>
      <c r="F14" s="15" t="n">
        <f aca="false">IF(C14&gt;0,E14/C14,"")</f>
        <v>1</v>
      </c>
    </row>
    <row r="15" customFormat="false" ht="15" hidden="false" customHeight="false" outlineLevel="0" collapsed="false">
      <c r="A15" s="12" t="s">
        <v>49</v>
      </c>
      <c r="B15" s="12" t="s">
        <v>51</v>
      </c>
      <c r="C15" s="14" t="n">
        <v>11</v>
      </c>
      <c r="D15" s="14" t="n">
        <v>12</v>
      </c>
      <c r="E15" s="14" t="n">
        <v>11</v>
      </c>
      <c r="F15" s="15" t="n">
        <f aca="false">IF(C15&gt;0,E15/C15,"")</f>
        <v>1</v>
      </c>
    </row>
    <row r="16" customFormat="false" ht="15" hidden="false" customHeight="false" outlineLevel="0" collapsed="false">
      <c r="A16" s="12" t="s">
        <v>52</v>
      </c>
      <c r="B16" s="12" t="s">
        <v>53</v>
      </c>
      <c r="C16" s="14" t="n">
        <v>2</v>
      </c>
      <c r="D16" s="14" t="n">
        <v>2</v>
      </c>
      <c r="E16" s="14" t="n">
        <v>2</v>
      </c>
      <c r="F16" s="15" t="n">
        <f aca="false">IF(C16&gt;0,E16/C16,"")</f>
        <v>1</v>
      </c>
    </row>
    <row r="17" customFormat="false" ht="15" hidden="false" customHeight="false" outlineLevel="0" collapsed="false">
      <c r="A17" s="12" t="s">
        <v>52</v>
      </c>
      <c r="B17" s="12" t="s">
        <v>54</v>
      </c>
      <c r="C17" s="14" t="n">
        <v>2</v>
      </c>
      <c r="D17" s="14" t="n">
        <v>2</v>
      </c>
      <c r="E17" s="14" t="n">
        <v>2</v>
      </c>
      <c r="F17" s="15" t="n">
        <f aca="false">IF(C17&gt;0,E17/C17,"")</f>
        <v>1</v>
      </c>
    </row>
    <row r="18" customFormat="false" ht="15" hidden="false" customHeight="false" outlineLevel="0" collapsed="false">
      <c r="A18" s="12" t="s">
        <v>52</v>
      </c>
      <c r="B18" s="12" t="s">
        <v>55</v>
      </c>
      <c r="C18" s="14" t="n">
        <v>1</v>
      </c>
      <c r="D18" s="14" t="n">
        <v>1</v>
      </c>
      <c r="E18" s="14" t="n">
        <v>1</v>
      </c>
      <c r="F18" s="15" t="n">
        <f aca="false">IF(C18&gt;0,E18/C18,"")</f>
        <v>1</v>
      </c>
    </row>
    <row r="19" customFormat="false" ht="15" hidden="false" customHeight="false" outlineLevel="0" collapsed="false">
      <c r="A19" s="12" t="s">
        <v>52</v>
      </c>
      <c r="B19" s="12" t="s">
        <v>56</v>
      </c>
      <c r="C19" s="14" t="n">
        <v>1</v>
      </c>
      <c r="D19" s="14" t="n">
        <v>1</v>
      </c>
      <c r="E19" s="14" t="n">
        <v>1</v>
      </c>
      <c r="F19" s="15" t="n">
        <f aca="false">IF(C19&gt;0,E19/C19,"")</f>
        <v>1</v>
      </c>
    </row>
    <row r="20" customFormat="false" ht="15" hidden="false" customHeight="false" outlineLevel="0" collapsed="false">
      <c r="A20" s="12" t="s">
        <v>52</v>
      </c>
      <c r="B20" s="12" t="s">
        <v>57</v>
      </c>
      <c r="C20" s="14" t="n">
        <v>5</v>
      </c>
      <c r="D20" s="14" t="n">
        <v>5</v>
      </c>
      <c r="E20" s="14" t="n">
        <v>5</v>
      </c>
      <c r="F20" s="15" t="n">
        <f aca="false">IF(C20&gt;0,E20/C20,"")</f>
        <v>1</v>
      </c>
    </row>
    <row r="21" customFormat="false" ht="15" hidden="false" customHeight="false" outlineLevel="0" collapsed="false">
      <c r="A21" s="12" t="s">
        <v>52</v>
      </c>
      <c r="B21" s="12" t="s">
        <v>58</v>
      </c>
      <c r="C21" s="14" t="n">
        <v>2</v>
      </c>
      <c r="D21" s="14" t="n">
        <v>2</v>
      </c>
      <c r="E21" s="14" t="n">
        <v>2</v>
      </c>
      <c r="F21" s="15" t="n">
        <f aca="false">IF(C21&gt;0,E21/C21,"")</f>
        <v>1</v>
      </c>
    </row>
    <row r="22" customFormat="false" ht="15" hidden="false" customHeight="false" outlineLevel="0" collapsed="false">
      <c r="A22" s="12" t="s">
        <v>52</v>
      </c>
      <c r="B22" s="12" t="s">
        <v>59</v>
      </c>
      <c r="C22" s="14" t="n">
        <v>1</v>
      </c>
      <c r="D22" s="14" t="n">
        <v>1</v>
      </c>
      <c r="E22" s="14" t="n">
        <v>1</v>
      </c>
      <c r="F22" s="15" t="n">
        <f aca="false">IF(C22&gt;0,E22/C22,"")</f>
        <v>1</v>
      </c>
    </row>
    <row r="23" customFormat="false" ht="15" hidden="false" customHeight="false" outlineLevel="0" collapsed="false">
      <c r="A23" s="12" t="s">
        <v>52</v>
      </c>
      <c r="B23" s="12" t="s">
        <v>60</v>
      </c>
      <c r="C23" s="14" t="n">
        <v>1</v>
      </c>
      <c r="D23" s="14" t="n">
        <v>1</v>
      </c>
      <c r="E23" s="14" t="n">
        <v>1</v>
      </c>
      <c r="F23" s="15" t="n">
        <f aca="false">IF(C23&gt;0,E23/C23,"")</f>
        <v>1</v>
      </c>
    </row>
    <row r="24" customFormat="false" ht="15" hidden="false" customHeight="false" outlineLevel="0" collapsed="false">
      <c r="A24" s="12" t="s">
        <v>52</v>
      </c>
      <c r="B24" s="12" t="s">
        <v>61</v>
      </c>
      <c r="C24" s="14" t="n">
        <v>1</v>
      </c>
      <c r="D24" s="14" t="n">
        <v>1</v>
      </c>
      <c r="E24" s="14" t="n">
        <v>1</v>
      </c>
      <c r="F24" s="15" t="n">
        <f aca="false">IF(C24&gt;0,E24/C24,"")</f>
        <v>1</v>
      </c>
    </row>
    <row r="25" customFormat="false" ht="15" hidden="false" customHeight="false" outlineLevel="0" collapsed="false">
      <c r="A25" s="12" t="s">
        <v>52</v>
      </c>
      <c r="B25" s="12" t="s">
        <v>62</v>
      </c>
      <c r="C25" s="14" t="n">
        <v>3</v>
      </c>
      <c r="D25" s="14" t="n">
        <v>3</v>
      </c>
      <c r="E25" s="14" t="n">
        <v>3</v>
      </c>
      <c r="F25" s="15" t="n">
        <f aca="false">IF(C25&gt;0,E25/C25,"")</f>
        <v>1</v>
      </c>
    </row>
    <row r="26" customFormat="false" ht="15" hidden="false" customHeight="false" outlineLevel="0" collapsed="false">
      <c r="A26" s="12" t="s">
        <v>52</v>
      </c>
      <c r="B26" s="12" t="s">
        <v>63</v>
      </c>
      <c r="C26" s="14" t="n">
        <v>1</v>
      </c>
      <c r="D26" s="14" t="n">
        <v>1</v>
      </c>
      <c r="E26" s="14" t="n">
        <v>1</v>
      </c>
      <c r="F26" s="15" t="n">
        <f aca="false">IF(C26&gt;0,E26/C26,"")</f>
        <v>1</v>
      </c>
    </row>
    <row r="27" customFormat="false" ht="15" hidden="false" customHeight="false" outlineLevel="0" collapsed="false">
      <c r="A27" s="12"/>
      <c r="B27" s="12"/>
      <c r="C27" s="14"/>
      <c r="D27" s="14"/>
      <c r="E27" s="14"/>
      <c r="F27" s="15" t="str">
        <f aca="false">IF(C27&gt;0,E27/C27,"")</f>
        <v/>
      </c>
    </row>
    <row r="28" customFormat="false" ht="15" hidden="false" customHeight="false" outlineLevel="0" collapsed="false">
      <c r="A28" s="12"/>
      <c r="B28" s="12"/>
      <c r="C28" s="14"/>
      <c r="D28" s="14"/>
      <c r="E28" s="14"/>
      <c r="F28" s="15" t="str">
        <f aca="false">IF(C28&gt;0,E28/C28,"")</f>
        <v/>
      </c>
    </row>
    <row r="29" customFormat="false" ht="15" hidden="false" customHeight="false" outlineLevel="0" collapsed="false">
      <c r="A29" s="12"/>
      <c r="B29" s="12"/>
      <c r="C29" s="14"/>
      <c r="D29" s="14"/>
      <c r="E29" s="14"/>
      <c r="F29" s="15" t="str">
        <f aca="false">IF(C29&gt;0,E29/C29,"")</f>
        <v/>
      </c>
    </row>
    <row r="30" customFormat="false" ht="15" hidden="false" customHeight="false" outlineLevel="0" collapsed="false">
      <c r="A30" s="12"/>
      <c r="B30" s="12"/>
      <c r="C30" s="14"/>
      <c r="D30" s="14"/>
      <c r="E30" s="14"/>
      <c r="F30" s="15" t="str">
        <f aca="false">IF(C30&gt;0,E30/C30,"")</f>
        <v/>
      </c>
    </row>
    <row r="31" customFormat="false" ht="15" hidden="false" customHeight="false" outlineLevel="0" collapsed="false">
      <c r="A31" s="12"/>
      <c r="B31" s="12"/>
      <c r="C31" s="14"/>
      <c r="D31" s="14"/>
      <c r="E31" s="14"/>
      <c r="F31" s="15" t="str">
        <f aca="false">IF(C31&gt;0,E31/C31,"")</f>
        <v/>
      </c>
    </row>
    <row r="32" customFormat="false" ht="15" hidden="false" customHeight="false" outlineLevel="0" collapsed="false">
      <c r="A32" s="12"/>
      <c r="B32" s="12"/>
      <c r="C32" s="14"/>
      <c r="D32" s="14"/>
      <c r="E32" s="14"/>
      <c r="F32" s="15" t="str">
        <f aca="false">IF(C32&gt;0,E32/C32,"")</f>
        <v/>
      </c>
    </row>
    <row r="33" customFormat="false" ht="15" hidden="false" customHeight="false" outlineLevel="0" collapsed="false">
      <c r="A33" s="12"/>
      <c r="B33" s="12"/>
      <c r="C33" s="14"/>
      <c r="D33" s="14"/>
      <c r="E33" s="14"/>
      <c r="F33" s="15" t="str">
        <f aca="false">IF(C33&gt;0,E33/C33,"")</f>
        <v/>
      </c>
    </row>
    <row r="34" customFormat="false" ht="15" hidden="false" customHeight="false" outlineLevel="0" collapsed="false">
      <c r="A34" s="12"/>
      <c r="B34" s="12"/>
      <c r="C34" s="14"/>
      <c r="D34" s="14"/>
      <c r="E34" s="14"/>
      <c r="F34" s="15" t="str">
        <f aca="false">IF(C34&gt;0,E34/C34,"")</f>
        <v/>
      </c>
    </row>
    <row r="35" customFormat="false" ht="15" hidden="false" customHeight="false" outlineLevel="0" collapsed="false">
      <c r="A35" s="12"/>
      <c r="B35" s="12"/>
      <c r="C35" s="14"/>
      <c r="D35" s="14"/>
      <c r="E35" s="14"/>
      <c r="F35" s="15" t="str">
        <f aca="false">IF(C35&gt;0,E35/C35,"")</f>
        <v/>
      </c>
    </row>
    <row r="36" customFormat="false" ht="15" hidden="false" customHeight="false" outlineLevel="0" collapsed="false">
      <c r="A36" s="12"/>
      <c r="B36" s="12"/>
      <c r="C36" s="14"/>
      <c r="D36" s="14"/>
      <c r="E36" s="14"/>
      <c r="F36" s="15" t="str">
        <f aca="false">IF(C36&gt;0,E36/C36,"")</f>
        <v/>
      </c>
    </row>
    <row r="37" customFormat="false" ht="15" hidden="false" customHeight="false" outlineLevel="0" collapsed="false">
      <c r="A37" s="12"/>
      <c r="B37" s="12"/>
      <c r="C37" s="14"/>
      <c r="D37" s="14"/>
      <c r="E37" s="14"/>
      <c r="F37" s="15" t="str">
        <f aca="false">IF(C37&gt;0,E37/C37,"")</f>
        <v/>
      </c>
    </row>
    <row r="38" customFormat="false" ht="15" hidden="false" customHeight="false" outlineLevel="0" collapsed="false">
      <c r="A38" s="12"/>
      <c r="B38" s="12"/>
      <c r="C38" s="14"/>
      <c r="D38" s="14"/>
      <c r="E38" s="14"/>
      <c r="F38" s="15" t="str">
        <f aca="false">IF(C38&gt;0,E38/C38,"")</f>
        <v/>
      </c>
    </row>
    <row r="39" customFormat="false" ht="15" hidden="false" customHeight="false" outlineLevel="0" collapsed="false">
      <c r="A39" s="12"/>
      <c r="B39" s="12"/>
      <c r="C39" s="14"/>
      <c r="D39" s="14"/>
      <c r="E39" s="14"/>
      <c r="F39" s="15" t="str">
        <f aca="false">IF(C39&gt;0,E39/C39,"")</f>
        <v/>
      </c>
    </row>
    <row r="40" customFormat="false" ht="15" hidden="false" customHeight="false" outlineLevel="0" collapsed="false">
      <c r="A40" s="12"/>
      <c r="B40" s="12"/>
      <c r="C40" s="14"/>
      <c r="D40" s="14"/>
      <c r="E40" s="14"/>
      <c r="F40" s="15" t="str">
        <f aca="false">IF(C40&gt;0,E40/C40,"")</f>
        <v/>
      </c>
    </row>
    <row r="41" customFormat="false" ht="15" hidden="false" customHeight="false" outlineLevel="0" collapsed="false">
      <c r="A41" s="12"/>
      <c r="B41" s="12"/>
      <c r="C41" s="14"/>
      <c r="D41" s="14"/>
      <c r="E41" s="14"/>
      <c r="F41" s="15" t="str">
        <f aca="false">IF(C41&gt;0,E41/C41,"")</f>
        <v/>
      </c>
    </row>
    <row r="42" customFormat="false" ht="15" hidden="false" customHeight="false" outlineLevel="0" collapsed="false">
      <c r="A42" s="12"/>
      <c r="B42" s="12"/>
      <c r="C42" s="14"/>
      <c r="D42" s="14"/>
      <c r="E42" s="14"/>
      <c r="F42" s="15" t="str">
        <f aca="false">IF(C42&gt;0,E42/C42,"")</f>
        <v/>
      </c>
    </row>
    <row r="43" customFormat="false" ht="15" hidden="false" customHeight="false" outlineLevel="0" collapsed="false">
      <c r="A43" s="12"/>
      <c r="B43" s="12"/>
      <c r="C43" s="14"/>
      <c r="D43" s="14"/>
      <c r="E43" s="14"/>
      <c r="F43" s="15" t="str">
        <f aca="false">IF(C43&gt;0,E43/C43,"")</f>
        <v/>
      </c>
    </row>
  </sheetData>
  <dataValidations count="4">
    <dataValidation allowBlank="true" error="Pick a value from the list" errorStyle="stop" operator="between" showDropDown="false" showErrorMessage="false" showInputMessage="false" sqref="A4:A43" type="list">
      <formula1>"P1~3,P4~5,P6,P7,P8,P9-Non Priority"</formula1>
      <formula2>0</formula2>
    </dataValidation>
    <dataValidation allowBlank="true" error="Numbers only" errorStyle="stop" operator="between" showDropDown="false" showErrorMessage="true" showInputMessage="false" sqref="C4:C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D4:D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E4:E43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</cols>
  <sheetData>
    <row r="1" customFormat="false" ht="17.35" hidden="false" customHeight="false" outlineLevel="0" collapsed="false">
      <c r="A1" s="8" t="s">
        <v>64</v>
      </c>
    </row>
    <row r="2" customFormat="false" ht="15" hidden="false" customHeight="false" outlineLevel="0" collapsed="false">
      <c r="A2" s="7" t="s">
        <v>65</v>
      </c>
    </row>
    <row r="3" customFormat="false" ht="30" hidden="false" customHeight="true" outlineLevel="0" collapsed="false">
      <c r="A3" s="13" t="s">
        <v>66</v>
      </c>
      <c r="B3" s="13" t="s">
        <v>67</v>
      </c>
      <c r="C3" s="13" t="s">
        <v>68</v>
      </c>
      <c r="D3" s="13" t="s">
        <v>69</v>
      </c>
    </row>
    <row r="4" customFormat="false" ht="15" hidden="false" customHeight="false" outlineLevel="0" collapsed="false">
      <c r="A4" s="12" t="s">
        <v>45</v>
      </c>
      <c r="B4" s="14" t="n">
        <v>5</v>
      </c>
      <c r="C4" s="14" t="n">
        <v>0</v>
      </c>
      <c r="D4" s="16" t="n">
        <f aca="false">IF(A4="","",B4+C4)</f>
        <v>5</v>
      </c>
    </row>
    <row r="5" customFormat="false" ht="15" hidden="false" customHeight="false" outlineLevel="0" collapsed="false">
      <c r="A5" s="12" t="s">
        <v>46</v>
      </c>
      <c r="B5" s="14" t="n">
        <v>8</v>
      </c>
      <c r="C5" s="14" t="n">
        <v>0</v>
      </c>
      <c r="D5" s="16" t="n">
        <f aca="false">IF(A5="","",B5+C5)</f>
        <v>8</v>
      </c>
    </row>
    <row r="6" customFormat="false" ht="15" hidden="false" customHeight="false" outlineLevel="0" collapsed="false">
      <c r="A6" s="12" t="s">
        <v>53</v>
      </c>
      <c r="B6" s="14" t="n">
        <v>1</v>
      </c>
      <c r="C6" s="14" t="n">
        <v>0</v>
      </c>
      <c r="D6" s="16" t="n">
        <f aca="false">IF(A6="","",B6+C6)</f>
        <v>1</v>
      </c>
    </row>
    <row r="7" customFormat="false" ht="15" hidden="false" customHeight="false" outlineLevel="0" collapsed="false">
      <c r="A7" s="12" t="s">
        <v>50</v>
      </c>
      <c r="B7" s="14" t="n">
        <v>1</v>
      </c>
      <c r="C7" s="14" t="n">
        <v>0</v>
      </c>
      <c r="D7" s="16" t="n">
        <f aca="false">IF(A7="","",B7+C7)</f>
        <v>1</v>
      </c>
    </row>
    <row r="8" customFormat="false" ht="15" hidden="false" customHeight="false" outlineLevel="0" collapsed="false">
      <c r="A8" s="12" t="s">
        <v>37</v>
      </c>
      <c r="B8" s="14" t="n">
        <v>3</v>
      </c>
      <c r="C8" s="14" t="n">
        <v>2</v>
      </c>
      <c r="D8" s="16" t="n">
        <f aca="false">IF(A8="","",B8+C8)</f>
        <v>5</v>
      </c>
    </row>
    <row r="9" customFormat="false" ht="15" hidden="false" customHeight="false" outlineLevel="0" collapsed="false">
      <c r="A9" s="12" t="s">
        <v>38</v>
      </c>
      <c r="B9" s="14" t="n">
        <v>2</v>
      </c>
      <c r="C9" s="14" t="n">
        <v>1</v>
      </c>
      <c r="D9" s="16" t="n">
        <f aca="false">IF(A9="","",B9+C9)</f>
        <v>3</v>
      </c>
    </row>
    <row r="10" customFormat="false" ht="15" hidden="false" customHeight="false" outlineLevel="0" collapsed="false">
      <c r="A10" s="12" t="s">
        <v>48</v>
      </c>
      <c r="B10" s="14" t="n">
        <v>0</v>
      </c>
      <c r="C10" s="14" t="n">
        <v>1</v>
      </c>
      <c r="D10" s="16" t="n">
        <f aca="false">IF(A10="","",B10+C10)</f>
        <v>1</v>
      </c>
    </row>
    <row r="11" customFormat="false" ht="15" hidden="false" customHeight="false" outlineLevel="0" collapsed="false">
      <c r="A11" s="12" t="s">
        <v>54</v>
      </c>
      <c r="B11" s="14" t="n">
        <v>2</v>
      </c>
      <c r="C11" s="14" t="n">
        <v>0</v>
      </c>
      <c r="D11" s="16" t="n">
        <f aca="false">IF(A11="","",B11+C11)</f>
        <v>2</v>
      </c>
    </row>
    <row r="12" customFormat="false" ht="15" hidden="false" customHeight="false" outlineLevel="0" collapsed="false">
      <c r="A12" s="12" t="s">
        <v>42</v>
      </c>
      <c r="B12" s="14" t="n">
        <v>0</v>
      </c>
      <c r="C12" s="14" t="n">
        <v>1</v>
      </c>
      <c r="D12" s="16" t="n">
        <f aca="false">IF(A12="","",B12+C12)</f>
        <v>1</v>
      </c>
    </row>
    <row r="13" customFormat="false" ht="15" hidden="false" customHeight="false" outlineLevel="0" collapsed="false">
      <c r="A13" s="12" t="s">
        <v>43</v>
      </c>
      <c r="B13" s="14" t="n">
        <v>4</v>
      </c>
      <c r="C13" s="14" t="n">
        <v>1</v>
      </c>
      <c r="D13" s="16" t="n">
        <f aca="false">IF(A13="","",B13+C13)</f>
        <v>5</v>
      </c>
    </row>
    <row r="14" customFormat="false" ht="15" hidden="false" customHeight="false" outlineLevel="0" collapsed="false">
      <c r="A14" s="12" t="s">
        <v>39</v>
      </c>
      <c r="B14" s="14" t="n">
        <v>1</v>
      </c>
      <c r="C14" s="14" t="n">
        <v>0</v>
      </c>
      <c r="D14" s="16" t="n">
        <f aca="false">IF(A14="","",B14+C14)</f>
        <v>1</v>
      </c>
    </row>
    <row r="15" customFormat="false" ht="15" hidden="false" customHeight="false" outlineLevel="0" collapsed="false">
      <c r="A15" s="12" t="s">
        <v>58</v>
      </c>
      <c r="B15" s="14" t="n">
        <v>2</v>
      </c>
      <c r="C15" s="14" t="n">
        <v>0</v>
      </c>
      <c r="D15" s="16" t="n">
        <f aca="false">IF(A15="","",B15+C15)</f>
        <v>2</v>
      </c>
    </row>
    <row r="16" customFormat="false" ht="15" hidden="false" customHeight="false" outlineLevel="0" collapsed="false">
      <c r="A16" s="12"/>
      <c r="B16" s="14"/>
      <c r="C16" s="14"/>
      <c r="D16" s="16" t="str">
        <f aca="false">IF(A16="","",B16+C16)</f>
        <v/>
      </c>
    </row>
    <row r="17" customFormat="false" ht="15" hidden="false" customHeight="false" outlineLevel="0" collapsed="false">
      <c r="A17" s="12"/>
      <c r="B17" s="14"/>
      <c r="C17" s="14"/>
      <c r="D17" s="16" t="str">
        <f aca="false">IF(A17="","",B17+C17)</f>
        <v/>
      </c>
    </row>
    <row r="18" customFormat="false" ht="15" hidden="false" customHeight="false" outlineLevel="0" collapsed="false">
      <c r="A18" s="12"/>
      <c r="B18" s="14"/>
      <c r="C18" s="14"/>
      <c r="D18" s="16" t="str">
        <f aca="false">IF(A18="","",B18+C18)</f>
        <v/>
      </c>
    </row>
    <row r="19" customFormat="false" ht="15" hidden="false" customHeight="false" outlineLevel="0" collapsed="false">
      <c r="A19" s="12"/>
      <c r="B19" s="14"/>
      <c r="C19" s="14"/>
      <c r="D19" s="16" t="str">
        <f aca="false">IF(A19="","",B19+C19)</f>
        <v/>
      </c>
    </row>
    <row r="20" customFormat="false" ht="15" hidden="false" customHeight="false" outlineLevel="0" collapsed="false">
      <c r="A20" s="12"/>
      <c r="B20" s="14"/>
      <c r="C20" s="14"/>
      <c r="D20" s="16" t="str">
        <f aca="false">IF(A20="","",B20+C20)</f>
        <v/>
      </c>
    </row>
    <row r="21" customFormat="false" ht="15" hidden="false" customHeight="false" outlineLevel="0" collapsed="false">
      <c r="A21" s="12"/>
      <c r="B21" s="14"/>
      <c r="C21" s="14"/>
      <c r="D21" s="16" t="str">
        <f aca="false">IF(A21="","",B21+C21)</f>
        <v/>
      </c>
    </row>
    <row r="22" customFormat="false" ht="15" hidden="false" customHeight="false" outlineLevel="0" collapsed="false">
      <c r="A22" s="12"/>
      <c r="B22" s="14"/>
      <c r="C22" s="14"/>
      <c r="D22" s="16" t="str">
        <f aca="false">IF(A22="","",B22+C22)</f>
        <v/>
      </c>
    </row>
    <row r="23" customFormat="false" ht="15" hidden="false" customHeight="false" outlineLevel="0" collapsed="false">
      <c r="A23" s="12"/>
      <c r="B23" s="14"/>
      <c r="C23" s="14"/>
      <c r="D23" s="16" t="str">
        <f aca="false">IF(A23="","",B23+C23)</f>
        <v/>
      </c>
    </row>
    <row r="24" customFormat="false" ht="15" hidden="false" customHeight="false" outlineLevel="0" collapsed="false">
      <c r="A24" s="12"/>
      <c r="B24" s="14"/>
      <c r="C24" s="14"/>
      <c r="D24" s="16" t="str">
        <f aca="false">IF(A24="","",B24+C24)</f>
        <v/>
      </c>
    </row>
    <row r="25" customFormat="false" ht="15" hidden="false" customHeight="false" outlineLevel="0" collapsed="false">
      <c r="A25" s="12"/>
      <c r="B25" s="14"/>
      <c r="C25" s="14"/>
      <c r="D25" s="16" t="str">
        <f aca="false">IF(A25="","",B25+C25)</f>
        <v/>
      </c>
    </row>
    <row r="26" customFormat="false" ht="15" hidden="false" customHeight="false" outlineLevel="0" collapsed="false">
      <c r="A26" s="12"/>
      <c r="B26" s="14"/>
      <c r="C26" s="14"/>
      <c r="D26" s="16" t="str">
        <f aca="false">IF(A26="","",B26+C26)</f>
        <v/>
      </c>
    </row>
    <row r="27" customFormat="false" ht="15" hidden="false" customHeight="false" outlineLevel="0" collapsed="false">
      <c r="A27" s="12"/>
      <c r="B27" s="14"/>
      <c r="C27" s="14"/>
      <c r="D27" s="16" t="str">
        <f aca="false">IF(A27="","",B27+C27)</f>
        <v/>
      </c>
    </row>
    <row r="28" customFormat="false" ht="15" hidden="false" customHeight="false" outlineLevel="0" collapsed="false">
      <c r="A28" s="12"/>
      <c r="B28" s="14"/>
      <c r="C28" s="14"/>
      <c r="D28" s="16" t="str">
        <f aca="false">IF(A28="","",B28+C28)</f>
        <v/>
      </c>
    </row>
  </sheetData>
  <dataValidations count="2">
    <dataValidation allowBlank="true" error="Numbers only" errorStyle="stop" operator="between" showDropDown="false" showErrorMessage="true" showInputMessage="false" sqref="B4:B28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C4:C28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1"/>
  </cols>
  <sheetData>
    <row r="1" customFormat="false" ht="17.35" hidden="false" customHeight="false" outlineLevel="0" collapsed="false">
      <c r="A1" s="8" t="s">
        <v>70</v>
      </c>
    </row>
    <row r="2" customFormat="false" ht="15" hidden="false" customHeight="false" outlineLevel="0" collapsed="false">
      <c r="A2" s="7" t="s">
        <v>71</v>
      </c>
    </row>
    <row r="3" customFormat="false" ht="30" hidden="false" customHeight="true" outlineLevel="0" collapsed="false">
      <c r="A3" s="13" t="s">
        <v>72</v>
      </c>
      <c r="B3" s="13" t="s">
        <v>31</v>
      </c>
      <c r="C3" s="13" t="s">
        <v>33</v>
      </c>
      <c r="D3" s="13" t="s">
        <v>34</v>
      </c>
    </row>
    <row r="4" customFormat="false" ht="15" hidden="false" customHeight="false" outlineLevel="0" collapsed="false">
      <c r="A4" s="12" t="s">
        <v>73</v>
      </c>
      <c r="B4" s="14" t="n">
        <v>156</v>
      </c>
      <c r="C4" s="14" t="n">
        <v>156</v>
      </c>
      <c r="D4" s="15" t="n">
        <f aca="false">IF(B4&gt;0,C4/B4,"")</f>
        <v>1</v>
      </c>
    </row>
    <row r="5" customFormat="false" ht="15" hidden="false" customHeight="false" outlineLevel="0" collapsed="false">
      <c r="A5" s="12" t="s">
        <v>74</v>
      </c>
      <c r="B5" s="14" t="n">
        <v>14</v>
      </c>
      <c r="C5" s="14" t="n">
        <v>13</v>
      </c>
      <c r="D5" s="15" t="n">
        <f aca="false">IF(B5&gt;0,C5/B5,"")</f>
        <v>0.928571428571429</v>
      </c>
    </row>
    <row r="6" customFormat="false" ht="15" hidden="false" customHeight="false" outlineLevel="0" collapsed="false">
      <c r="A6" s="12" t="s">
        <v>75</v>
      </c>
      <c r="B6" s="14" t="n">
        <v>7</v>
      </c>
      <c r="C6" s="14" t="n">
        <v>7</v>
      </c>
      <c r="D6" s="15" t="n">
        <f aca="false">IF(B6&gt;0,C6/B6,"")</f>
        <v>1</v>
      </c>
    </row>
    <row r="7" customFormat="false" ht="15" hidden="false" customHeight="false" outlineLevel="0" collapsed="false">
      <c r="A7" s="12" t="s">
        <v>76</v>
      </c>
      <c r="B7" s="14" t="n">
        <v>60</v>
      </c>
      <c r="C7" s="14" t="n">
        <v>60</v>
      </c>
      <c r="D7" s="15" t="n">
        <f aca="false">IF(B7&gt;0,C7/B7,"")</f>
        <v>1</v>
      </c>
    </row>
    <row r="8" customFormat="false" ht="15" hidden="false" customHeight="false" outlineLevel="0" collapsed="false">
      <c r="A8" s="12" t="s">
        <v>77</v>
      </c>
      <c r="B8" s="14" t="n">
        <v>11</v>
      </c>
      <c r="C8" s="14" t="n">
        <v>11</v>
      </c>
      <c r="D8" s="15" t="n">
        <f aca="false">IF(B8&gt;0,C8/B8,"")</f>
        <v>1</v>
      </c>
    </row>
    <row r="9" customFormat="false" ht="15" hidden="false" customHeight="false" outlineLevel="0" collapsed="false">
      <c r="A9" s="12" t="s">
        <v>78</v>
      </c>
      <c r="B9" s="14" t="n">
        <v>5</v>
      </c>
      <c r="C9" s="14" t="n">
        <v>5</v>
      </c>
      <c r="D9" s="15" t="n">
        <f aca="false">IF(B9&gt;0,C9/B9,"")</f>
        <v>1</v>
      </c>
    </row>
    <row r="10" customFormat="false" ht="15" hidden="false" customHeight="false" outlineLevel="0" collapsed="false">
      <c r="A10" s="12" t="s">
        <v>79</v>
      </c>
      <c r="B10" s="14" t="n">
        <v>11</v>
      </c>
      <c r="C10" s="14" t="n">
        <v>11</v>
      </c>
      <c r="D10" s="15" t="n">
        <f aca="false">IF(B10&gt;0,C10/B10,"")</f>
        <v>1</v>
      </c>
    </row>
    <row r="11" customFormat="false" ht="15" hidden="false" customHeight="false" outlineLevel="0" collapsed="false">
      <c r="A11" s="12" t="s">
        <v>80</v>
      </c>
      <c r="B11" s="14" t="n">
        <v>7</v>
      </c>
      <c r="C11" s="14" t="n">
        <v>7</v>
      </c>
      <c r="D11" s="15" t="n">
        <f aca="false">IF(B11&gt;0,C11/B11,"")</f>
        <v>1</v>
      </c>
    </row>
    <row r="12" customFormat="false" ht="15" hidden="false" customHeight="false" outlineLevel="0" collapsed="false">
      <c r="A12" s="12" t="s">
        <v>81</v>
      </c>
      <c r="B12" s="14" t="n">
        <v>6</v>
      </c>
      <c r="C12" s="14" t="n">
        <v>6</v>
      </c>
      <c r="D12" s="15" t="n">
        <f aca="false">IF(B12&gt;0,C12/B12,"")</f>
        <v>1</v>
      </c>
    </row>
    <row r="13" customFormat="false" ht="15" hidden="false" customHeight="false" outlineLevel="0" collapsed="false">
      <c r="A13" s="12"/>
      <c r="B13" s="14"/>
      <c r="C13" s="14"/>
      <c r="D13" s="15" t="str">
        <f aca="false">IF(B13&gt;0,C13/B13,"")</f>
        <v/>
      </c>
    </row>
    <row r="14" customFormat="false" ht="15" hidden="false" customHeight="false" outlineLevel="0" collapsed="false">
      <c r="A14" s="12"/>
      <c r="B14" s="14"/>
      <c r="C14" s="14"/>
      <c r="D14" s="15" t="str">
        <f aca="false">IF(B14&gt;0,C14/B14,"")</f>
        <v/>
      </c>
    </row>
    <row r="15" customFormat="false" ht="15" hidden="false" customHeight="false" outlineLevel="0" collapsed="false">
      <c r="A15" s="12"/>
      <c r="B15" s="14"/>
      <c r="C15" s="14"/>
      <c r="D15" s="15" t="str">
        <f aca="false">IF(B15&gt;0,C15/B15,"")</f>
        <v/>
      </c>
    </row>
    <row r="16" customFormat="false" ht="15" hidden="false" customHeight="false" outlineLevel="0" collapsed="false">
      <c r="A16" s="12"/>
      <c r="B16" s="14"/>
      <c r="C16" s="14"/>
      <c r="D16" s="15" t="str">
        <f aca="false">IF(B16&gt;0,C16/B16,"")</f>
        <v/>
      </c>
    </row>
    <row r="17" customFormat="false" ht="15" hidden="false" customHeight="false" outlineLevel="0" collapsed="false">
      <c r="A17" s="12"/>
      <c r="B17" s="14"/>
      <c r="C17" s="14"/>
      <c r="D17" s="15" t="str">
        <f aca="false">IF(B17&gt;0,C17/B17,"")</f>
        <v/>
      </c>
    </row>
    <row r="18" customFormat="false" ht="15" hidden="false" customHeight="false" outlineLevel="0" collapsed="false">
      <c r="A18" s="12"/>
      <c r="B18" s="14"/>
      <c r="C18" s="14"/>
      <c r="D18" s="15" t="str">
        <f aca="false">IF(B18&gt;0,C18/B18,"")</f>
        <v/>
      </c>
    </row>
    <row r="19" customFormat="false" ht="15" hidden="false" customHeight="false" outlineLevel="0" collapsed="false">
      <c r="A19" s="12"/>
      <c r="B19" s="14"/>
      <c r="C19" s="14"/>
      <c r="D19" s="15" t="str">
        <f aca="false">IF(B19&gt;0,C19/B19,"")</f>
        <v/>
      </c>
    </row>
    <row r="20" customFormat="false" ht="15" hidden="false" customHeight="false" outlineLevel="0" collapsed="false">
      <c r="A20" s="12"/>
      <c r="B20" s="14"/>
      <c r="C20" s="14"/>
      <c r="D20" s="15" t="str">
        <f aca="false">IF(B20&gt;0,C20/B20,"")</f>
        <v/>
      </c>
    </row>
    <row r="21" customFormat="false" ht="15" hidden="false" customHeight="false" outlineLevel="0" collapsed="false">
      <c r="A21" s="12"/>
      <c r="B21" s="14"/>
      <c r="C21" s="14"/>
      <c r="D21" s="15" t="str">
        <f aca="false">IF(B21&gt;0,C21/B21,"")</f>
        <v/>
      </c>
    </row>
    <row r="22" customFormat="false" ht="15" hidden="false" customHeight="false" outlineLevel="0" collapsed="false">
      <c r="A22" s="12"/>
      <c r="B22" s="14"/>
      <c r="C22" s="14"/>
      <c r="D22" s="15" t="str">
        <f aca="false">IF(B22&gt;0,C22/B22,"")</f>
        <v/>
      </c>
    </row>
    <row r="23" customFormat="false" ht="15" hidden="false" customHeight="false" outlineLevel="0" collapsed="false">
      <c r="A23" s="12"/>
      <c r="B23" s="14"/>
      <c r="C23" s="14"/>
      <c r="D23" s="15" t="str">
        <f aca="false">IF(B23&gt;0,C23/B23,"")</f>
        <v/>
      </c>
    </row>
    <row r="24" customFormat="false" ht="15" hidden="false" customHeight="false" outlineLevel="0" collapsed="false">
      <c r="A24" s="12"/>
      <c r="B24" s="14"/>
      <c r="C24" s="14"/>
      <c r="D24" s="15" t="str">
        <f aca="false">IF(B24&gt;0,C24/B24,"")</f>
        <v/>
      </c>
    </row>
    <row r="25" customFormat="false" ht="15" hidden="false" customHeight="false" outlineLevel="0" collapsed="false">
      <c r="A25" s="12"/>
      <c r="B25" s="14"/>
      <c r="C25" s="14"/>
      <c r="D25" s="15" t="str">
        <f aca="false">IF(B25&gt;0,C25/B25,"")</f>
        <v/>
      </c>
    </row>
    <row r="26" customFormat="false" ht="15" hidden="false" customHeight="false" outlineLevel="0" collapsed="false">
      <c r="A26" s="12"/>
      <c r="B26" s="14"/>
      <c r="C26" s="14"/>
      <c r="D26" s="15" t="str">
        <f aca="false">IF(B26&gt;0,C26/B26,"")</f>
        <v/>
      </c>
    </row>
    <row r="27" customFormat="false" ht="15" hidden="false" customHeight="false" outlineLevel="0" collapsed="false">
      <c r="A27" s="12"/>
      <c r="B27" s="14"/>
      <c r="C27" s="14"/>
      <c r="D27" s="15" t="str">
        <f aca="false">IF(B27&gt;0,C27/B27,"")</f>
        <v/>
      </c>
    </row>
    <row r="28" customFormat="false" ht="15" hidden="false" customHeight="false" outlineLevel="0" collapsed="false">
      <c r="A28" s="12"/>
      <c r="B28" s="14"/>
      <c r="C28" s="14"/>
      <c r="D28" s="15" t="str">
        <f aca="false">IF(B28&gt;0,C28/B28,"")</f>
        <v/>
      </c>
    </row>
  </sheetData>
  <dataValidations count="2">
    <dataValidation allowBlank="true" error="Numbers only" errorStyle="stop" operator="between" showDropDown="false" showErrorMessage="true" showInputMessage="false" sqref="B4:B28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C4:C28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8" t="s">
        <v>82</v>
      </c>
    </row>
    <row r="2" customFormat="false" ht="15" hidden="false" customHeight="false" outlineLevel="0" collapsed="false">
      <c r="A2" s="7" t="s">
        <v>83</v>
      </c>
    </row>
    <row r="3" customFormat="false" ht="30" hidden="false" customHeight="true" outlineLevel="0" collapsed="false">
      <c r="A3" s="13" t="s">
        <v>16</v>
      </c>
      <c r="B3" s="13" t="s">
        <v>84</v>
      </c>
    </row>
    <row r="4" customFormat="false" ht="15" hidden="false" customHeight="false" outlineLevel="0" collapsed="false">
      <c r="A4" s="12" t="s">
        <v>85</v>
      </c>
      <c r="B4" s="14" t="n">
        <v>4</v>
      </c>
    </row>
    <row r="5" customFormat="false" ht="15" hidden="false" customHeight="false" outlineLevel="0" collapsed="false">
      <c r="A5" s="12" t="s">
        <v>86</v>
      </c>
      <c r="B5" s="14" t="n">
        <v>7</v>
      </c>
    </row>
    <row r="6" customFormat="false" ht="15" hidden="false" customHeight="false" outlineLevel="0" collapsed="false">
      <c r="A6" s="12" t="s">
        <v>87</v>
      </c>
      <c r="B6" s="14" t="n">
        <v>-3</v>
      </c>
    </row>
    <row r="7" customFormat="false" ht="15" hidden="false" customHeight="false" outlineLevel="0" collapsed="false">
      <c r="A7" s="12" t="s">
        <v>88</v>
      </c>
      <c r="B7" s="14" t="n">
        <v>35</v>
      </c>
    </row>
    <row r="8" customFormat="false" ht="15" hidden="false" customHeight="false" outlineLevel="0" collapsed="false">
      <c r="A8" s="12" t="s">
        <v>89</v>
      </c>
      <c r="B8" s="14" t="n">
        <v>121</v>
      </c>
    </row>
  </sheetData>
  <dataValidations count="1">
    <dataValidation allowBlank="true" error="Numbers only" errorStyle="stop" operator="between" showDropDown="false" showErrorMessage="true" showInputMessage="false" sqref="B4:B8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9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7"/>
  </cols>
  <sheetData>
    <row r="1" customFormat="false" ht="17.35" hidden="false" customHeight="false" outlineLevel="0" collapsed="false">
      <c r="A1" s="8" t="s">
        <v>90</v>
      </c>
    </row>
    <row r="2" customFormat="false" ht="15" hidden="false" customHeight="false" outlineLevel="0" collapsed="false">
      <c r="A2" s="7" t="s">
        <v>91</v>
      </c>
    </row>
    <row r="3" customFormat="false" ht="30" hidden="false" customHeight="true" outlineLevel="0" collapsed="false">
      <c r="A3" s="13" t="s">
        <v>92</v>
      </c>
      <c r="B3" s="13" t="s">
        <v>30</v>
      </c>
      <c r="C3" s="13" t="s">
        <v>93</v>
      </c>
      <c r="D3" s="13" t="s">
        <v>94</v>
      </c>
      <c r="E3" s="13" t="s">
        <v>95</v>
      </c>
      <c r="F3" s="13" t="s">
        <v>96</v>
      </c>
    </row>
    <row r="4" customFormat="false" ht="15" hidden="false" customHeight="false" outlineLevel="0" collapsed="false">
      <c r="A4" s="12" t="s">
        <v>97</v>
      </c>
      <c r="B4" s="14" t="n">
        <v>5</v>
      </c>
      <c r="C4" s="14" t="n">
        <v>5</v>
      </c>
      <c r="D4" s="14" t="n">
        <v>12</v>
      </c>
      <c r="E4" s="14" t="n">
        <v>9</v>
      </c>
      <c r="F4" s="14" t="n">
        <v>6</v>
      </c>
    </row>
    <row r="5" customFormat="false" ht="15" hidden="false" customHeight="false" outlineLevel="0" collapsed="false">
      <c r="A5" s="12" t="s">
        <v>98</v>
      </c>
      <c r="B5" s="14" t="n">
        <v>6</v>
      </c>
      <c r="C5" s="14" t="n">
        <v>6</v>
      </c>
      <c r="D5" s="14" t="n">
        <v>6</v>
      </c>
      <c r="E5" s="14" t="n">
        <v>9</v>
      </c>
      <c r="F5" s="14" t="n">
        <v>2</v>
      </c>
    </row>
    <row r="6" customFormat="false" ht="15" hidden="false" customHeight="false" outlineLevel="0" collapsed="false">
      <c r="A6" s="12" t="s">
        <v>99</v>
      </c>
      <c r="B6" s="14" t="n">
        <v>3</v>
      </c>
      <c r="C6" s="14" t="n">
        <v>3</v>
      </c>
      <c r="D6" s="14" t="n">
        <v>1</v>
      </c>
      <c r="E6" s="14" t="n">
        <v>1</v>
      </c>
      <c r="F6" s="14" t="n">
        <v>3</v>
      </c>
    </row>
    <row r="7" customFormat="false" ht="15" hidden="false" customHeight="false" outlineLevel="0" collapsed="false">
      <c r="A7" s="12" t="s">
        <v>100</v>
      </c>
      <c r="B7" s="14" t="n">
        <v>2</v>
      </c>
      <c r="C7" s="14" t="n">
        <v>2</v>
      </c>
      <c r="D7" s="14" t="n">
        <v>0</v>
      </c>
      <c r="E7" s="14" t="n">
        <v>0</v>
      </c>
      <c r="F7" s="14" t="n">
        <v>0</v>
      </c>
    </row>
    <row r="8" customFormat="false" ht="15" hidden="false" customHeight="false" outlineLevel="0" collapsed="false">
      <c r="A8" s="12" t="s">
        <v>74</v>
      </c>
      <c r="B8" s="14" t="n">
        <v>2</v>
      </c>
      <c r="C8" s="14" t="n">
        <v>2</v>
      </c>
      <c r="D8" s="14" t="n">
        <v>0</v>
      </c>
      <c r="E8" s="14" t="n">
        <v>3</v>
      </c>
      <c r="F8" s="14" t="n">
        <v>0</v>
      </c>
    </row>
    <row r="9" customFormat="false" ht="15" hidden="false" customHeight="false" outlineLevel="0" collapsed="false">
      <c r="A9" s="12" t="s">
        <v>81</v>
      </c>
      <c r="B9" s="14" t="n">
        <v>1</v>
      </c>
      <c r="C9" s="14" t="n">
        <v>1</v>
      </c>
      <c r="D9" s="14" t="n">
        <v>0</v>
      </c>
      <c r="E9" s="14" t="n">
        <v>0</v>
      </c>
      <c r="F9" s="14" t="n">
        <v>0</v>
      </c>
    </row>
    <row r="10" customFormat="false" ht="15" hidden="false" customHeight="false" outlineLevel="0" collapsed="false">
      <c r="A10" s="12" t="s">
        <v>75</v>
      </c>
      <c r="B10" s="14" t="n">
        <v>2</v>
      </c>
      <c r="C10" s="14" t="n">
        <v>2</v>
      </c>
      <c r="D10" s="14" t="n">
        <v>0</v>
      </c>
      <c r="E10" s="14" t="n">
        <v>0</v>
      </c>
      <c r="F10" s="14" t="n">
        <v>0</v>
      </c>
    </row>
    <row r="11" customFormat="false" ht="15" hidden="false" customHeight="false" outlineLevel="0" collapsed="false">
      <c r="A11" s="12" t="s">
        <v>78</v>
      </c>
      <c r="B11" s="14" t="n">
        <v>2</v>
      </c>
      <c r="C11" s="14" t="n">
        <v>2</v>
      </c>
      <c r="D11" s="14" t="n">
        <v>0</v>
      </c>
      <c r="E11" s="14" t="n">
        <v>1</v>
      </c>
      <c r="F11" s="14" t="n">
        <v>0</v>
      </c>
    </row>
    <row r="12" customFormat="false" ht="15" hidden="false" customHeight="false" outlineLevel="0" collapsed="false">
      <c r="A12" s="12"/>
      <c r="B12" s="14"/>
      <c r="C12" s="14"/>
      <c r="D12" s="14"/>
      <c r="E12" s="14"/>
      <c r="F12" s="14"/>
    </row>
    <row r="13" customFormat="false" ht="15" hidden="false" customHeight="false" outlineLevel="0" collapsed="false">
      <c r="A13" s="12"/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2"/>
      <c r="B14" s="14"/>
      <c r="C14" s="14"/>
      <c r="D14" s="14"/>
      <c r="E14" s="14"/>
      <c r="F14" s="14"/>
    </row>
    <row r="15" customFormat="false" ht="15" hidden="false" customHeight="false" outlineLevel="0" collapsed="false">
      <c r="A15" s="12"/>
      <c r="B15" s="14"/>
      <c r="C15" s="14"/>
      <c r="D15" s="14"/>
      <c r="E15" s="14"/>
      <c r="F15" s="14"/>
    </row>
    <row r="16" customFormat="false" ht="15" hidden="false" customHeight="false" outlineLevel="0" collapsed="false">
      <c r="A16" s="12"/>
      <c r="B16" s="14"/>
      <c r="C16" s="14"/>
      <c r="D16" s="14"/>
      <c r="E16" s="14"/>
      <c r="F16" s="14"/>
    </row>
    <row r="17" customFormat="false" ht="15" hidden="false" customHeight="false" outlineLevel="0" collapsed="false">
      <c r="A17" s="12"/>
      <c r="B17" s="14"/>
      <c r="C17" s="14"/>
      <c r="D17" s="14"/>
      <c r="E17" s="14"/>
      <c r="F17" s="14"/>
    </row>
    <row r="18" customFormat="false" ht="15" hidden="false" customHeight="false" outlineLevel="0" collapsed="false">
      <c r="A18" s="12"/>
      <c r="B18" s="14"/>
      <c r="C18" s="14"/>
      <c r="D18" s="14"/>
      <c r="E18" s="14"/>
      <c r="F18" s="14"/>
    </row>
    <row r="19" customFormat="false" ht="15" hidden="false" customHeight="false" outlineLevel="0" collapsed="false">
      <c r="A19" s="12"/>
      <c r="B19" s="14"/>
      <c r="C19" s="14"/>
      <c r="D19" s="14"/>
      <c r="E19" s="14"/>
      <c r="F19" s="14"/>
    </row>
    <row r="20" customFormat="false" ht="15" hidden="false" customHeight="false" outlineLevel="0" collapsed="false">
      <c r="A20" s="12"/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12"/>
      <c r="B21" s="14"/>
      <c r="C21" s="14"/>
      <c r="D21" s="14"/>
      <c r="E21" s="14"/>
      <c r="F21" s="14"/>
    </row>
    <row r="22" customFormat="false" ht="15" hidden="false" customHeight="false" outlineLevel="0" collapsed="false">
      <c r="A22" s="12"/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12"/>
      <c r="B23" s="14"/>
      <c r="C23" s="14"/>
      <c r="D23" s="14"/>
      <c r="E23" s="14"/>
      <c r="F23" s="14"/>
    </row>
  </sheetData>
  <dataValidations count="5">
    <dataValidation allowBlank="true" error="Numbers only" errorStyle="stop" operator="between" showDropDown="false" showErrorMessage="true" showInputMessage="false" sqref="B4:B2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C4:C2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D4:D2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E4:E2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F4:F23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34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14"/>
  </cols>
  <sheetData>
    <row r="1" customFormat="false" ht="17.35" hidden="false" customHeight="false" outlineLevel="0" collapsed="false">
      <c r="A1" s="8" t="s">
        <v>101</v>
      </c>
    </row>
    <row r="2" customFormat="false" ht="15" hidden="false" customHeight="false" outlineLevel="0" collapsed="false">
      <c r="A2" s="7" t="s">
        <v>102</v>
      </c>
    </row>
    <row r="3" customFormat="false" ht="30" hidden="false" customHeight="true" outlineLevel="0" collapsed="false">
      <c r="A3" s="13" t="s">
        <v>103</v>
      </c>
      <c r="B3" s="13" t="s">
        <v>104</v>
      </c>
      <c r="C3" s="13" t="s">
        <v>92</v>
      </c>
      <c r="D3" s="13" t="s">
        <v>105</v>
      </c>
      <c r="E3" s="13" t="s">
        <v>106</v>
      </c>
      <c r="F3" s="13" t="s">
        <v>107</v>
      </c>
      <c r="G3" s="13" t="s">
        <v>108</v>
      </c>
      <c r="H3" s="13" t="s">
        <v>109</v>
      </c>
      <c r="I3" s="13" t="s">
        <v>110</v>
      </c>
      <c r="J3" s="13" t="s">
        <v>111</v>
      </c>
      <c r="K3" s="13" t="s">
        <v>112</v>
      </c>
    </row>
    <row r="4" customFormat="false" ht="26.85" hidden="false" customHeight="false" outlineLevel="0" collapsed="false">
      <c r="A4" s="12" t="s">
        <v>113</v>
      </c>
      <c r="B4" s="11" t="n">
        <v>46310</v>
      </c>
      <c r="C4" s="12" t="s">
        <v>114</v>
      </c>
      <c r="D4" s="12" t="s">
        <v>115</v>
      </c>
      <c r="E4" s="12" t="s">
        <v>116</v>
      </c>
      <c r="F4" s="17" t="s">
        <v>117</v>
      </c>
      <c r="G4" s="14" t="n">
        <v>1</v>
      </c>
      <c r="H4" s="14" t="n">
        <v>1</v>
      </c>
      <c r="I4" s="14" t="n">
        <v>0</v>
      </c>
      <c r="J4" s="14" t="n">
        <v>0</v>
      </c>
      <c r="K4" s="14" t="n">
        <v>0</v>
      </c>
    </row>
    <row r="5" customFormat="false" ht="39.55" hidden="false" customHeight="false" outlineLevel="0" collapsed="false">
      <c r="A5" s="12" t="s">
        <v>113</v>
      </c>
      <c r="B5" s="11" t="n">
        <v>46310</v>
      </c>
      <c r="C5" s="12" t="s">
        <v>114</v>
      </c>
      <c r="D5" s="12" t="s">
        <v>118</v>
      </c>
      <c r="E5" s="12" t="s">
        <v>119</v>
      </c>
      <c r="F5" s="17" t="s">
        <v>120</v>
      </c>
      <c r="G5" s="14" t="n">
        <v>1</v>
      </c>
      <c r="H5" s="14" t="n">
        <v>1</v>
      </c>
      <c r="I5" s="14" t="n">
        <v>0</v>
      </c>
      <c r="J5" s="14" t="n">
        <v>0</v>
      </c>
      <c r="K5" s="14" t="n">
        <v>0</v>
      </c>
    </row>
    <row r="6" customFormat="false" ht="26.85" hidden="false" customHeight="false" outlineLevel="0" collapsed="false">
      <c r="A6" s="12" t="s">
        <v>113</v>
      </c>
      <c r="B6" s="11" t="n">
        <v>46310</v>
      </c>
      <c r="C6" s="12" t="s">
        <v>114</v>
      </c>
      <c r="D6" s="12" t="s">
        <v>121</v>
      </c>
      <c r="E6" s="12" t="s">
        <v>116</v>
      </c>
      <c r="F6" s="17" t="s">
        <v>122</v>
      </c>
      <c r="G6" s="14" t="n">
        <v>1</v>
      </c>
      <c r="H6" s="14" t="n">
        <v>1</v>
      </c>
      <c r="I6" s="14" t="n">
        <v>0</v>
      </c>
      <c r="J6" s="14" t="n">
        <v>2</v>
      </c>
      <c r="K6" s="14" t="n">
        <v>14</v>
      </c>
    </row>
    <row r="7" customFormat="false" ht="26.85" hidden="false" customHeight="false" outlineLevel="0" collapsed="false">
      <c r="A7" s="12" t="s">
        <v>113</v>
      </c>
      <c r="B7" s="11" t="n">
        <v>46310</v>
      </c>
      <c r="C7" s="12" t="s">
        <v>123</v>
      </c>
      <c r="D7" s="12" t="s">
        <v>124</v>
      </c>
      <c r="E7" s="12" t="s">
        <v>116</v>
      </c>
      <c r="F7" s="17" t="s">
        <v>125</v>
      </c>
      <c r="G7" s="14" t="n">
        <v>1</v>
      </c>
      <c r="H7" s="14" t="n">
        <v>1</v>
      </c>
      <c r="I7" s="14" t="n">
        <v>0</v>
      </c>
      <c r="J7" s="14" t="n">
        <v>2</v>
      </c>
      <c r="K7" s="14" t="n">
        <v>14</v>
      </c>
    </row>
    <row r="8" customFormat="false" ht="15" hidden="false" customHeight="false" outlineLevel="0" collapsed="false">
      <c r="A8" s="12" t="s">
        <v>32</v>
      </c>
      <c r="B8" s="11" t="n">
        <v>46311</v>
      </c>
      <c r="C8" s="12" t="s">
        <v>126</v>
      </c>
      <c r="D8" s="12" t="s">
        <v>127</v>
      </c>
      <c r="E8" s="12" t="s">
        <v>116</v>
      </c>
      <c r="F8" s="17" t="s">
        <v>128</v>
      </c>
      <c r="G8" s="14" t="n">
        <v>1</v>
      </c>
      <c r="H8" s="14" t="n">
        <v>1</v>
      </c>
      <c r="I8" s="14" t="n">
        <v>0</v>
      </c>
      <c r="J8" s="14" t="n">
        <v>0</v>
      </c>
      <c r="K8" s="14" t="n">
        <v>0</v>
      </c>
    </row>
    <row r="9" customFormat="false" ht="15" hidden="false" customHeight="false" outlineLevel="0" collapsed="false">
      <c r="A9" s="12" t="s">
        <v>32</v>
      </c>
      <c r="B9" s="11" t="n">
        <v>46311</v>
      </c>
      <c r="C9" s="12" t="s">
        <v>123</v>
      </c>
      <c r="D9" s="12" t="s">
        <v>129</v>
      </c>
      <c r="E9" s="12" t="s">
        <v>119</v>
      </c>
      <c r="F9" s="17" t="n">
        <v>4363457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customFormat="false" ht="15" hidden="false" customHeight="false" outlineLevel="0" collapsed="false">
      <c r="A10" s="12" t="s">
        <v>32</v>
      </c>
      <c r="B10" s="11" t="n">
        <v>46311</v>
      </c>
      <c r="C10" s="12" t="s">
        <v>123</v>
      </c>
      <c r="D10" s="12" t="s">
        <v>129</v>
      </c>
      <c r="E10" s="12" t="s">
        <v>116</v>
      </c>
      <c r="F10" s="17" t="s">
        <v>130</v>
      </c>
      <c r="G10" s="14" t="n">
        <v>1</v>
      </c>
      <c r="H10" s="14" t="n">
        <v>1</v>
      </c>
      <c r="I10" s="14" t="n">
        <v>0</v>
      </c>
      <c r="J10" s="14" t="n">
        <v>2</v>
      </c>
      <c r="K10" s="14" t="n">
        <v>14</v>
      </c>
    </row>
    <row r="11" customFormat="false" ht="15" hidden="false" customHeight="false" outlineLevel="0" collapsed="false">
      <c r="A11" s="12" t="s">
        <v>32</v>
      </c>
      <c r="B11" s="11" t="n">
        <v>46311</v>
      </c>
      <c r="C11" s="12" t="s">
        <v>126</v>
      </c>
      <c r="D11" s="12" t="s">
        <v>131</v>
      </c>
      <c r="E11" s="12" t="s">
        <v>116</v>
      </c>
      <c r="F11" s="17" t="s">
        <v>132</v>
      </c>
      <c r="G11" s="14" t="n">
        <v>1</v>
      </c>
      <c r="H11" s="14" t="n">
        <v>1</v>
      </c>
      <c r="I11" s="14" t="n">
        <v>0</v>
      </c>
      <c r="J11" s="14" t="n">
        <v>2</v>
      </c>
      <c r="K11" s="14" t="n">
        <v>14</v>
      </c>
    </row>
    <row r="12" customFormat="false" ht="15" hidden="false" customHeight="false" outlineLevel="0" collapsed="false">
      <c r="A12" s="12"/>
      <c r="B12" s="11"/>
      <c r="C12" s="12"/>
      <c r="D12" s="12"/>
      <c r="E12" s="12"/>
      <c r="F12" s="17"/>
      <c r="G12" s="14"/>
      <c r="H12" s="14"/>
      <c r="I12" s="14"/>
      <c r="J12" s="14"/>
      <c r="K12" s="14"/>
    </row>
    <row r="13" customFormat="false" ht="15" hidden="false" customHeight="false" outlineLevel="0" collapsed="false">
      <c r="A13" s="12"/>
      <c r="B13" s="11"/>
      <c r="C13" s="12"/>
      <c r="D13" s="12"/>
      <c r="E13" s="12"/>
      <c r="F13" s="17"/>
      <c r="G13" s="14"/>
      <c r="H13" s="14"/>
      <c r="I13" s="14"/>
      <c r="J13" s="14"/>
      <c r="K13" s="14"/>
    </row>
    <row r="14" customFormat="false" ht="15" hidden="false" customHeight="false" outlineLevel="0" collapsed="false">
      <c r="A14" s="12"/>
      <c r="B14" s="11"/>
      <c r="C14" s="12"/>
      <c r="D14" s="12"/>
      <c r="E14" s="12"/>
      <c r="F14" s="17"/>
      <c r="G14" s="14"/>
      <c r="H14" s="14"/>
      <c r="I14" s="14"/>
      <c r="J14" s="14"/>
      <c r="K14" s="14"/>
    </row>
    <row r="15" customFormat="false" ht="15" hidden="false" customHeight="false" outlineLevel="0" collapsed="false">
      <c r="A15" s="12"/>
      <c r="B15" s="11"/>
      <c r="C15" s="12"/>
      <c r="D15" s="12"/>
      <c r="E15" s="12"/>
      <c r="F15" s="17"/>
      <c r="G15" s="14"/>
      <c r="H15" s="14"/>
      <c r="I15" s="14"/>
      <c r="J15" s="14"/>
      <c r="K15" s="14"/>
    </row>
    <row r="16" customFormat="false" ht="15" hidden="false" customHeight="false" outlineLevel="0" collapsed="false">
      <c r="A16" s="12"/>
      <c r="B16" s="11"/>
      <c r="C16" s="12"/>
      <c r="D16" s="12"/>
      <c r="E16" s="12"/>
      <c r="F16" s="17"/>
      <c r="G16" s="14"/>
      <c r="H16" s="14"/>
      <c r="I16" s="14"/>
      <c r="J16" s="14"/>
      <c r="K16" s="14"/>
    </row>
    <row r="17" customFormat="false" ht="15" hidden="false" customHeight="false" outlineLevel="0" collapsed="false">
      <c r="A17" s="12"/>
      <c r="B17" s="11"/>
      <c r="C17" s="12"/>
      <c r="D17" s="12"/>
      <c r="E17" s="12"/>
      <c r="F17" s="17"/>
      <c r="G17" s="14"/>
      <c r="H17" s="14"/>
      <c r="I17" s="14"/>
      <c r="J17" s="14"/>
      <c r="K17" s="14"/>
    </row>
    <row r="18" customFormat="false" ht="15" hidden="false" customHeight="false" outlineLevel="0" collapsed="false">
      <c r="A18" s="12"/>
      <c r="B18" s="11"/>
      <c r="C18" s="12"/>
      <c r="D18" s="12"/>
      <c r="E18" s="12"/>
      <c r="F18" s="17"/>
      <c r="G18" s="14"/>
      <c r="H18" s="14"/>
      <c r="I18" s="14"/>
      <c r="J18" s="14"/>
      <c r="K18" s="14"/>
    </row>
    <row r="19" customFormat="false" ht="15" hidden="false" customHeight="false" outlineLevel="0" collapsed="false">
      <c r="A19" s="12"/>
      <c r="B19" s="11"/>
      <c r="C19" s="12"/>
      <c r="D19" s="12"/>
      <c r="E19" s="12"/>
      <c r="F19" s="17"/>
      <c r="G19" s="14"/>
      <c r="H19" s="14"/>
      <c r="I19" s="14"/>
      <c r="J19" s="14"/>
      <c r="K19" s="14"/>
    </row>
    <row r="20" customFormat="false" ht="15" hidden="false" customHeight="false" outlineLevel="0" collapsed="false">
      <c r="A20" s="12"/>
      <c r="B20" s="11"/>
      <c r="C20" s="12"/>
      <c r="D20" s="12"/>
      <c r="E20" s="12"/>
      <c r="F20" s="17"/>
      <c r="G20" s="14"/>
      <c r="H20" s="14"/>
      <c r="I20" s="14"/>
      <c r="J20" s="14"/>
      <c r="K20" s="14"/>
    </row>
    <row r="21" customFormat="false" ht="15" hidden="false" customHeight="false" outlineLevel="0" collapsed="false">
      <c r="A21" s="12"/>
      <c r="B21" s="11"/>
      <c r="C21" s="12"/>
      <c r="D21" s="12"/>
      <c r="E21" s="12"/>
      <c r="F21" s="17"/>
      <c r="G21" s="14"/>
      <c r="H21" s="14"/>
      <c r="I21" s="14"/>
      <c r="J21" s="14"/>
      <c r="K21" s="14"/>
    </row>
    <row r="22" customFormat="false" ht="15" hidden="false" customHeight="false" outlineLevel="0" collapsed="false">
      <c r="A22" s="12"/>
      <c r="B22" s="11"/>
      <c r="C22" s="12"/>
      <c r="D22" s="12"/>
      <c r="E22" s="12"/>
      <c r="F22" s="17"/>
      <c r="G22" s="14"/>
      <c r="H22" s="14"/>
      <c r="I22" s="14"/>
      <c r="J22" s="14"/>
      <c r="K22" s="14"/>
    </row>
    <row r="23" customFormat="false" ht="15" hidden="false" customHeight="false" outlineLevel="0" collapsed="false">
      <c r="A23" s="12"/>
      <c r="B23" s="11"/>
      <c r="C23" s="12"/>
      <c r="D23" s="12"/>
      <c r="E23" s="12"/>
      <c r="F23" s="17"/>
      <c r="G23" s="14"/>
      <c r="H23" s="14"/>
      <c r="I23" s="14"/>
      <c r="J23" s="14"/>
      <c r="K23" s="14"/>
    </row>
    <row r="24" customFormat="false" ht="15" hidden="false" customHeight="false" outlineLevel="0" collapsed="false">
      <c r="A24" s="12"/>
      <c r="B24" s="11"/>
      <c r="C24" s="12"/>
      <c r="D24" s="12"/>
      <c r="E24" s="12"/>
      <c r="F24" s="17"/>
      <c r="G24" s="14"/>
      <c r="H24" s="14"/>
      <c r="I24" s="14"/>
      <c r="J24" s="14"/>
      <c r="K24" s="14"/>
    </row>
    <row r="25" customFormat="false" ht="15" hidden="false" customHeight="false" outlineLevel="0" collapsed="false">
      <c r="A25" s="12"/>
      <c r="B25" s="11"/>
      <c r="C25" s="12"/>
      <c r="D25" s="12"/>
      <c r="E25" s="12"/>
      <c r="F25" s="17"/>
      <c r="G25" s="14"/>
      <c r="H25" s="14"/>
      <c r="I25" s="14"/>
      <c r="J25" s="14"/>
      <c r="K25" s="14"/>
    </row>
    <row r="26" customFormat="false" ht="15" hidden="false" customHeight="false" outlineLevel="0" collapsed="false">
      <c r="A26" s="12"/>
      <c r="B26" s="11"/>
      <c r="C26" s="12"/>
      <c r="D26" s="12"/>
      <c r="E26" s="12"/>
      <c r="F26" s="17"/>
      <c r="G26" s="14"/>
      <c r="H26" s="14"/>
      <c r="I26" s="14"/>
      <c r="J26" s="14"/>
      <c r="K26" s="14"/>
    </row>
    <row r="27" customFormat="false" ht="15" hidden="false" customHeight="false" outlineLevel="0" collapsed="false">
      <c r="A27" s="12"/>
      <c r="B27" s="11"/>
      <c r="C27" s="12"/>
      <c r="D27" s="12"/>
      <c r="E27" s="12"/>
      <c r="F27" s="17"/>
      <c r="G27" s="14"/>
      <c r="H27" s="14"/>
      <c r="I27" s="14"/>
      <c r="J27" s="14"/>
      <c r="K27" s="14"/>
    </row>
    <row r="28" customFormat="false" ht="15" hidden="false" customHeight="false" outlineLevel="0" collapsed="false">
      <c r="A28" s="12"/>
      <c r="B28" s="11"/>
      <c r="C28" s="12"/>
      <c r="D28" s="12"/>
      <c r="E28" s="12"/>
      <c r="F28" s="17"/>
      <c r="G28" s="14"/>
      <c r="H28" s="14"/>
      <c r="I28" s="14"/>
      <c r="J28" s="14"/>
      <c r="K28" s="14"/>
    </row>
    <row r="29" customFormat="false" ht="15" hidden="false" customHeight="false" outlineLevel="0" collapsed="false">
      <c r="A29" s="12"/>
      <c r="B29" s="11"/>
      <c r="C29" s="12"/>
      <c r="D29" s="12"/>
      <c r="E29" s="12"/>
      <c r="F29" s="17"/>
      <c r="G29" s="14"/>
      <c r="H29" s="14"/>
      <c r="I29" s="14"/>
      <c r="J29" s="14"/>
      <c r="K29" s="14"/>
    </row>
    <row r="30" customFormat="false" ht="15" hidden="false" customHeight="false" outlineLevel="0" collapsed="false">
      <c r="A30" s="12"/>
      <c r="B30" s="11"/>
      <c r="C30" s="12"/>
      <c r="D30" s="12"/>
      <c r="E30" s="12"/>
      <c r="F30" s="17"/>
      <c r="G30" s="14"/>
      <c r="H30" s="14"/>
      <c r="I30" s="14"/>
      <c r="J30" s="14"/>
      <c r="K30" s="14"/>
    </row>
    <row r="31" customFormat="false" ht="15" hidden="false" customHeight="false" outlineLevel="0" collapsed="false">
      <c r="A31" s="12"/>
      <c r="B31" s="11"/>
      <c r="C31" s="12"/>
      <c r="D31" s="12"/>
      <c r="E31" s="12"/>
      <c r="F31" s="17"/>
      <c r="G31" s="14"/>
      <c r="H31" s="14"/>
      <c r="I31" s="14"/>
      <c r="J31" s="14"/>
      <c r="K31" s="14"/>
    </row>
    <row r="32" customFormat="false" ht="15" hidden="false" customHeight="false" outlineLevel="0" collapsed="false">
      <c r="A32" s="12"/>
      <c r="B32" s="11"/>
      <c r="C32" s="12"/>
      <c r="D32" s="12"/>
      <c r="E32" s="12"/>
      <c r="F32" s="17"/>
      <c r="G32" s="14"/>
      <c r="H32" s="14"/>
      <c r="I32" s="14"/>
      <c r="J32" s="14"/>
      <c r="K32" s="14"/>
    </row>
    <row r="33" customFormat="false" ht="15" hidden="false" customHeight="false" outlineLevel="0" collapsed="false">
      <c r="A33" s="12"/>
      <c r="B33" s="11"/>
      <c r="C33" s="12"/>
      <c r="D33" s="12"/>
      <c r="E33" s="12"/>
      <c r="F33" s="17"/>
      <c r="G33" s="14"/>
      <c r="H33" s="14"/>
      <c r="I33" s="14"/>
      <c r="J33" s="14"/>
      <c r="K33" s="14"/>
    </row>
  </sheetData>
  <dataValidations count="8">
    <dataValidation allowBlank="true" error="Pick a value from the list" errorStyle="stop" operator="between" showDropDown="false" showErrorMessage="true" showInputMessage="false" sqref="A4:A33" type="list">
      <formula1>"Done,Plan"</formula1>
      <formula2>0</formula2>
    </dataValidation>
    <dataValidation allowBlank="true" error="Enter a date, e.g. 16-Oct-2026" errorStyle="stop" operator="greaterThan" showDropDown="false" showErrorMessage="true" showInputMessage="false" sqref="B4:B33" type="date">
      <formula1>45000</formula1>
      <formula2>0</formula2>
    </dataValidation>
    <dataValidation allowBlank="true" error="Pick a value from the list" errorStyle="stop" operator="between" showDropDown="false" showErrorMessage="false" showInputMessage="false" sqref="E4:E33" type="list">
      <formula1>"Cable Cutting,Cable Cleaning"</formula1>
      <formula2>0</formula2>
    </dataValidation>
    <dataValidation allowBlank="true" error="Numbers only" errorStyle="stop" operator="between" showDropDown="false" showErrorMessage="true" showInputMessage="false" sqref="G4:G3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H4:H3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I4:I3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J4:J3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K4:K33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9"/>
  </cols>
  <sheetData>
    <row r="1" customFormat="false" ht="17.35" hidden="false" customHeight="false" outlineLevel="0" collapsed="false">
      <c r="A1" s="8" t="s">
        <v>133</v>
      </c>
    </row>
    <row r="2" customFormat="false" ht="15" hidden="false" customHeight="false" outlineLevel="0" collapsed="false">
      <c r="A2" s="7" t="s">
        <v>134</v>
      </c>
    </row>
    <row r="3" customFormat="false" ht="30" hidden="false" customHeight="true" outlineLevel="0" collapsed="false">
      <c r="A3" s="13" t="s">
        <v>135</v>
      </c>
      <c r="B3" s="13" t="s">
        <v>136</v>
      </c>
      <c r="C3" s="13" t="s">
        <v>137</v>
      </c>
    </row>
    <row r="4" customFormat="false" ht="15" hidden="false" customHeight="false" outlineLevel="0" collapsed="false">
      <c r="A4" s="12" t="s">
        <v>138</v>
      </c>
      <c r="B4" s="12" t="s">
        <v>139</v>
      </c>
      <c r="C4" s="14" t="n">
        <v>4</v>
      </c>
    </row>
    <row r="5" customFormat="false" ht="15" hidden="false" customHeight="false" outlineLevel="0" collapsed="false">
      <c r="A5" s="12" t="s">
        <v>140</v>
      </c>
      <c r="B5" s="12" t="s">
        <v>139</v>
      </c>
      <c r="C5" s="14" t="n">
        <v>1</v>
      </c>
    </row>
    <row r="6" customFormat="false" ht="15" hidden="false" customHeight="false" outlineLevel="0" collapsed="false">
      <c r="A6" s="12" t="s">
        <v>141</v>
      </c>
      <c r="B6" s="12" t="s">
        <v>139</v>
      </c>
      <c r="C6" s="14" t="n">
        <v>1</v>
      </c>
    </row>
    <row r="7" customFormat="false" ht="15" hidden="false" customHeight="false" outlineLevel="0" collapsed="false">
      <c r="A7" s="12" t="s">
        <v>142</v>
      </c>
      <c r="B7" s="12" t="s">
        <v>139</v>
      </c>
      <c r="C7" s="14" t="n">
        <v>1</v>
      </c>
    </row>
    <row r="8" customFormat="false" ht="15" hidden="false" customHeight="false" outlineLevel="0" collapsed="false">
      <c r="A8" s="12" t="s">
        <v>143</v>
      </c>
      <c r="B8" s="12" t="s">
        <v>139</v>
      </c>
      <c r="C8" s="14" t="n">
        <v>4</v>
      </c>
    </row>
    <row r="9" customFormat="false" ht="15" hidden="false" customHeight="false" outlineLevel="0" collapsed="false">
      <c r="A9" s="12"/>
      <c r="B9" s="12"/>
      <c r="C9" s="14"/>
    </row>
    <row r="10" customFormat="false" ht="15" hidden="false" customHeight="false" outlineLevel="0" collapsed="false">
      <c r="A10" s="12"/>
      <c r="B10" s="12"/>
      <c r="C10" s="14"/>
    </row>
    <row r="11" customFormat="false" ht="15" hidden="false" customHeight="false" outlineLevel="0" collapsed="false">
      <c r="A11" s="12"/>
      <c r="B11" s="12"/>
      <c r="C11" s="14"/>
    </row>
    <row r="12" customFormat="false" ht="15" hidden="false" customHeight="false" outlineLevel="0" collapsed="false">
      <c r="A12" s="12"/>
      <c r="B12" s="12"/>
      <c r="C12" s="14"/>
    </row>
    <row r="13" customFormat="false" ht="15" hidden="false" customHeight="false" outlineLevel="0" collapsed="false">
      <c r="A13" s="12"/>
      <c r="B13" s="12"/>
      <c r="C13" s="14"/>
    </row>
    <row r="14" customFormat="false" ht="15" hidden="false" customHeight="false" outlineLevel="0" collapsed="false">
      <c r="A14" s="12"/>
      <c r="B14" s="12"/>
      <c r="C14" s="14"/>
    </row>
    <row r="15" customFormat="false" ht="15" hidden="false" customHeight="false" outlineLevel="0" collapsed="false">
      <c r="A15" s="12"/>
      <c r="B15" s="12"/>
      <c r="C15" s="14"/>
    </row>
    <row r="16" customFormat="false" ht="15" hidden="false" customHeight="false" outlineLevel="0" collapsed="false">
      <c r="A16" s="12"/>
      <c r="B16" s="12"/>
      <c r="C16" s="14"/>
    </row>
    <row r="17" customFormat="false" ht="15" hidden="false" customHeight="false" outlineLevel="0" collapsed="false">
      <c r="A17" s="12"/>
      <c r="B17" s="12"/>
      <c r="C17" s="14"/>
    </row>
    <row r="18" customFormat="false" ht="15" hidden="false" customHeight="false" outlineLevel="0" collapsed="false">
      <c r="A18" s="12"/>
      <c r="B18" s="12"/>
      <c r="C18" s="14"/>
    </row>
  </sheetData>
  <dataValidations count="1">
    <dataValidation allowBlank="true" error="Numbers only" errorStyle="stop" operator="between" showDropDown="false" showErrorMessage="true" showInputMessage="false" sqref="C4:C18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17.35" hidden="false" customHeight="false" outlineLevel="0" collapsed="false">
      <c r="A1" s="8" t="s">
        <v>144</v>
      </c>
    </row>
    <row r="2" customFormat="false" ht="15" hidden="false" customHeight="false" outlineLevel="0" collapsed="false">
      <c r="A2" s="7" t="s">
        <v>145</v>
      </c>
    </row>
    <row r="3" customFormat="false" ht="30" hidden="false" customHeight="true" outlineLevel="0" collapsed="false">
      <c r="A3" s="13" t="s">
        <v>92</v>
      </c>
      <c r="B3" s="13" t="s">
        <v>105</v>
      </c>
      <c r="C3" s="13" t="s">
        <v>146</v>
      </c>
      <c r="D3" s="13" t="s">
        <v>147</v>
      </c>
      <c r="E3" s="13" t="s">
        <v>148</v>
      </c>
      <c r="F3" s="13" t="s">
        <v>149</v>
      </c>
      <c r="G3" s="13" t="s">
        <v>150</v>
      </c>
      <c r="H3" s="13" t="s">
        <v>93</v>
      </c>
      <c r="I3" s="13" t="s">
        <v>109</v>
      </c>
      <c r="J3" s="13" t="s">
        <v>151</v>
      </c>
      <c r="K3" s="13" t="s">
        <v>152</v>
      </c>
      <c r="L3" s="13" t="s">
        <v>153</v>
      </c>
      <c r="M3" s="13" t="s">
        <v>154</v>
      </c>
    </row>
    <row r="4" customFormat="false" ht="15" hidden="false" customHeight="false" outlineLevel="0" collapsed="false">
      <c r="A4" s="12" t="s">
        <v>126</v>
      </c>
      <c r="B4" s="12" t="s">
        <v>131</v>
      </c>
      <c r="C4" s="14" t="n">
        <v>34</v>
      </c>
      <c r="D4" s="14" t="n">
        <v>24</v>
      </c>
      <c r="E4" s="14" t="n">
        <v>80</v>
      </c>
      <c r="F4" s="14" t="n">
        <v>7</v>
      </c>
      <c r="G4" s="14" t="n">
        <v>7</v>
      </c>
      <c r="H4" s="14" t="n">
        <v>4</v>
      </c>
      <c r="I4" s="14" t="n">
        <v>4</v>
      </c>
      <c r="J4" s="15" t="n">
        <f aca="false">IF(C4&gt;0,D4/C4,"")</f>
        <v>0.705882352941177</v>
      </c>
      <c r="K4" s="15" t="n">
        <f aca="false">IF(E4&gt;0,F4/E4,"")</f>
        <v>0.0875</v>
      </c>
      <c r="L4" s="18" t="n">
        <f aca="false">IF(H4&gt;0,ROUND(G4/H4,1),"")</f>
        <v>1.8</v>
      </c>
      <c r="M4" s="18" t="n">
        <f aca="false">IF(G4&gt;0,ROUND(I4/G4,1),"")</f>
        <v>0.6</v>
      </c>
    </row>
    <row r="5" customFormat="false" ht="15" hidden="false" customHeight="false" outlineLevel="0" collapsed="false">
      <c r="A5" s="12" t="s">
        <v>126</v>
      </c>
      <c r="B5" s="12" t="s">
        <v>155</v>
      </c>
      <c r="C5" s="14" t="n">
        <v>12</v>
      </c>
      <c r="D5" s="14" t="n">
        <v>8</v>
      </c>
      <c r="E5" s="14" t="n">
        <v>79</v>
      </c>
      <c r="F5" s="14" t="n">
        <v>2</v>
      </c>
      <c r="G5" s="14" t="n">
        <v>2</v>
      </c>
      <c r="H5" s="14" t="n">
        <v>2</v>
      </c>
      <c r="I5" s="14" t="n">
        <v>2</v>
      </c>
      <c r="J5" s="15" t="n">
        <f aca="false">IF(C5&gt;0,D5/C5,"")</f>
        <v>0.666666666666667</v>
      </c>
      <c r="K5" s="15" t="n">
        <f aca="false">IF(E5&gt;0,F5/E5,"")</f>
        <v>0.0253164556962025</v>
      </c>
      <c r="L5" s="18" t="n">
        <f aca="false">IF(H5&gt;0,ROUND(G5/H5,1),"")</f>
        <v>1</v>
      </c>
      <c r="M5" s="18" t="n">
        <f aca="false">IF(G5&gt;0,ROUND(I5/G5,1),"")</f>
        <v>1</v>
      </c>
    </row>
    <row r="6" customFormat="false" ht="15" hidden="false" customHeight="false" outlineLevel="0" collapsed="false">
      <c r="A6" s="12" t="s">
        <v>126</v>
      </c>
      <c r="B6" s="12" t="s">
        <v>156</v>
      </c>
      <c r="C6" s="14" t="n">
        <v>13</v>
      </c>
      <c r="D6" s="14" t="n">
        <v>9</v>
      </c>
      <c r="E6" s="14" t="n">
        <v>29</v>
      </c>
      <c r="F6" s="14" t="n">
        <v>3</v>
      </c>
      <c r="G6" s="14" t="n">
        <v>2</v>
      </c>
      <c r="H6" s="14" t="n">
        <v>1</v>
      </c>
      <c r="I6" s="14" t="n">
        <v>1</v>
      </c>
      <c r="J6" s="15" t="n">
        <f aca="false">IF(C6&gt;0,D6/C6,"")</f>
        <v>0.692307692307692</v>
      </c>
      <c r="K6" s="15" t="n">
        <f aca="false">IF(E6&gt;0,F6/E6,"")</f>
        <v>0.103448275862069</v>
      </c>
      <c r="L6" s="18" t="n">
        <f aca="false">IF(H6&gt;0,ROUND(G6/H6,1),"")</f>
        <v>2</v>
      </c>
      <c r="M6" s="18" t="n">
        <f aca="false">IF(G6&gt;0,ROUND(I6/G6,1),"")</f>
        <v>0.5</v>
      </c>
    </row>
    <row r="7" customFormat="false" ht="15" hidden="false" customHeight="false" outlineLevel="0" collapsed="false">
      <c r="A7" s="12" t="s">
        <v>157</v>
      </c>
      <c r="B7" s="12" t="s">
        <v>127</v>
      </c>
      <c r="C7" s="14" t="n">
        <v>13</v>
      </c>
      <c r="D7" s="14" t="n">
        <v>13</v>
      </c>
      <c r="E7" s="14" t="n">
        <v>33</v>
      </c>
      <c r="F7" s="14" t="n">
        <v>2</v>
      </c>
      <c r="G7" s="14" t="n">
        <v>4</v>
      </c>
      <c r="H7" s="14" t="n">
        <v>3</v>
      </c>
      <c r="I7" s="14" t="n">
        <v>3</v>
      </c>
      <c r="J7" s="15" t="n">
        <f aca="false">IF(C7&gt;0,D7/C7,"")</f>
        <v>1</v>
      </c>
      <c r="K7" s="15" t="n">
        <f aca="false">IF(E7&gt;0,F7/E7,"")</f>
        <v>0.0606060606060606</v>
      </c>
      <c r="L7" s="18" t="n">
        <f aca="false">IF(H7&gt;0,ROUND(G7/H7,1),"")</f>
        <v>1.3</v>
      </c>
      <c r="M7" s="18" t="n">
        <f aca="false">IF(G7&gt;0,ROUND(I7/G7,1),"")</f>
        <v>0.8</v>
      </c>
    </row>
    <row r="8" customFormat="false" ht="15" hidden="false" customHeight="false" outlineLevel="0" collapsed="false">
      <c r="A8" s="12" t="s">
        <v>157</v>
      </c>
      <c r="B8" s="12" t="s">
        <v>158</v>
      </c>
      <c r="C8" s="14" t="n">
        <v>11</v>
      </c>
      <c r="D8" s="14" t="n">
        <v>6</v>
      </c>
      <c r="E8" s="14" t="n">
        <v>65</v>
      </c>
      <c r="F8" s="14" t="n">
        <v>3</v>
      </c>
      <c r="G8" s="14" t="n">
        <v>3</v>
      </c>
      <c r="H8" s="14" t="n">
        <v>1</v>
      </c>
      <c r="I8" s="14" t="n">
        <v>3</v>
      </c>
      <c r="J8" s="15" t="n">
        <f aca="false">IF(C8&gt;0,D8/C8,"")</f>
        <v>0.545454545454545</v>
      </c>
      <c r="K8" s="15" t="n">
        <f aca="false">IF(E8&gt;0,F8/E8,"")</f>
        <v>0.0461538461538462</v>
      </c>
      <c r="L8" s="18" t="n">
        <f aca="false">IF(H8&gt;0,ROUND(G8/H8,1),"")</f>
        <v>3</v>
      </c>
      <c r="M8" s="18" t="n">
        <f aca="false">IF(G8&gt;0,ROUND(I8/G8,1),"")</f>
        <v>1</v>
      </c>
    </row>
    <row r="9" customFormat="false" ht="15" hidden="false" customHeight="false" outlineLevel="0" collapsed="false">
      <c r="A9" s="12" t="s">
        <v>157</v>
      </c>
      <c r="B9" s="12" t="s">
        <v>159</v>
      </c>
      <c r="C9" s="14" t="n">
        <v>134</v>
      </c>
      <c r="D9" s="14" t="n">
        <v>79</v>
      </c>
      <c r="E9" s="14" t="n">
        <v>10</v>
      </c>
      <c r="F9" s="14" t="n">
        <v>6</v>
      </c>
      <c r="G9" s="14" t="n">
        <v>18</v>
      </c>
      <c r="H9" s="14" t="n">
        <v>10</v>
      </c>
      <c r="I9" s="14" t="n">
        <v>19</v>
      </c>
      <c r="J9" s="15" t="n">
        <f aca="false">IF(C9&gt;0,D9/C9,"")</f>
        <v>0.58955223880597</v>
      </c>
      <c r="K9" s="15" t="n">
        <f aca="false">IF(E9&gt;0,F9/E9,"")</f>
        <v>0.6</v>
      </c>
      <c r="L9" s="18" t="n">
        <f aca="false">IF(H9&gt;0,ROUND(G9/H9,1),"")</f>
        <v>1.8</v>
      </c>
      <c r="M9" s="18" t="n">
        <f aca="false">IF(G9&gt;0,ROUND(I9/G9,1),"")</f>
        <v>1.1</v>
      </c>
    </row>
    <row r="10" customFormat="false" ht="15" hidden="false" customHeight="false" outlineLevel="0" collapsed="false">
      <c r="A10" s="12" t="s">
        <v>157</v>
      </c>
      <c r="B10" s="12" t="s">
        <v>160</v>
      </c>
      <c r="C10" s="14" t="n">
        <v>22</v>
      </c>
      <c r="D10" s="14" t="n">
        <v>13</v>
      </c>
      <c r="E10" s="14" t="n">
        <v>14</v>
      </c>
      <c r="F10" s="14" t="n">
        <v>5</v>
      </c>
      <c r="G10" s="14" t="n">
        <v>4</v>
      </c>
      <c r="H10" s="14" t="n">
        <v>3</v>
      </c>
      <c r="I10" s="14" t="n">
        <v>4</v>
      </c>
      <c r="J10" s="15" t="n">
        <f aca="false">IF(C10&gt;0,D10/C10,"")</f>
        <v>0.590909090909091</v>
      </c>
      <c r="K10" s="15" t="n">
        <f aca="false">IF(E10&gt;0,F10/E10,"")</f>
        <v>0.357142857142857</v>
      </c>
      <c r="L10" s="18" t="n">
        <f aca="false">IF(H10&gt;0,ROUND(G10/H10,1),"")</f>
        <v>1.3</v>
      </c>
      <c r="M10" s="18" t="n">
        <f aca="false">IF(G10&gt;0,ROUND(I10/G10,1),"")</f>
        <v>1</v>
      </c>
    </row>
    <row r="11" customFormat="false" ht="15" hidden="false" customHeight="false" outlineLevel="0" collapsed="false">
      <c r="A11" s="12" t="s">
        <v>161</v>
      </c>
      <c r="B11" s="12" t="s">
        <v>161</v>
      </c>
      <c r="C11" s="14" t="n">
        <v>4</v>
      </c>
      <c r="D11" s="14" t="n">
        <v>1</v>
      </c>
      <c r="E11" s="14" t="n">
        <v>1</v>
      </c>
      <c r="F11" s="14" t="n">
        <v>0</v>
      </c>
      <c r="G11" s="14" t="n">
        <v>1</v>
      </c>
      <c r="H11" s="14" t="n">
        <v>1</v>
      </c>
      <c r="I11" s="14" t="n">
        <v>1</v>
      </c>
      <c r="J11" s="15" t="n">
        <f aca="false">IF(C11&gt;0,D11/C11,"")</f>
        <v>0.25</v>
      </c>
      <c r="K11" s="15" t="n">
        <f aca="false">IF(E11&gt;0,F11/E11,"")</f>
        <v>0</v>
      </c>
      <c r="L11" s="18" t="n">
        <f aca="false">IF(H11&gt;0,ROUND(G11/H11,1),"")</f>
        <v>1</v>
      </c>
      <c r="M11" s="18" t="n">
        <f aca="false">IF(G11&gt;0,ROUND(I11/G11,1),"")</f>
        <v>1</v>
      </c>
    </row>
    <row r="12" customFormat="false" ht="15" hidden="false" customHeight="false" outlineLevel="0" collapsed="false">
      <c r="A12" s="12" t="s">
        <v>162</v>
      </c>
      <c r="B12" s="12" t="s">
        <v>74</v>
      </c>
      <c r="C12" s="14" t="n">
        <v>17</v>
      </c>
      <c r="D12" s="14" t="n">
        <v>17</v>
      </c>
      <c r="E12" s="14" t="n">
        <v>18</v>
      </c>
      <c r="F12" s="14" t="n">
        <v>6</v>
      </c>
      <c r="G12" s="14" t="n">
        <v>8</v>
      </c>
      <c r="H12" s="14" t="n">
        <v>7</v>
      </c>
      <c r="I12" s="14" t="n">
        <v>10</v>
      </c>
      <c r="J12" s="15" t="n">
        <f aca="false">IF(C12&gt;0,D12/C12,"")</f>
        <v>1</v>
      </c>
      <c r="K12" s="15" t="n">
        <f aca="false">IF(E12&gt;0,F12/E12,"")</f>
        <v>0.333333333333333</v>
      </c>
      <c r="L12" s="18" t="n">
        <f aca="false">IF(H12&gt;0,ROUND(G12/H12,1),"")</f>
        <v>1.1</v>
      </c>
      <c r="M12" s="18" t="n">
        <f aca="false">IF(G12&gt;0,ROUND(I12/G12,1),"")</f>
        <v>1.3</v>
      </c>
    </row>
    <row r="13" customFormat="false" ht="15" hidden="false" customHeight="false" outlineLevel="0" collapsed="false">
      <c r="A13" s="12" t="s">
        <v>162</v>
      </c>
      <c r="B13" s="12" t="s">
        <v>81</v>
      </c>
      <c r="C13" s="14" t="n">
        <v>13</v>
      </c>
      <c r="D13" s="14" t="n">
        <v>13</v>
      </c>
      <c r="E13" s="14" t="n">
        <v>21</v>
      </c>
      <c r="F13" s="14" t="n">
        <v>5</v>
      </c>
      <c r="G13" s="14" t="n">
        <v>4</v>
      </c>
      <c r="H13" s="14" t="n">
        <v>4</v>
      </c>
      <c r="I13" s="14" t="n">
        <v>5</v>
      </c>
      <c r="J13" s="15" t="n">
        <f aca="false">IF(C13&gt;0,D13/C13,"")</f>
        <v>1</v>
      </c>
      <c r="K13" s="15" t="n">
        <f aca="false">IF(E13&gt;0,F13/E13,"")</f>
        <v>0.238095238095238</v>
      </c>
      <c r="L13" s="18" t="n">
        <f aca="false">IF(H13&gt;0,ROUND(G13/H13,1),"")</f>
        <v>1</v>
      </c>
      <c r="M13" s="18" t="n">
        <f aca="false">IF(G13&gt;0,ROUND(I13/G13,1),"")</f>
        <v>1.3</v>
      </c>
    </row>
    <row r="14" customFormat="false" ht="15" hidden="false" customHeight="false" outlineLevel="0" collapsed="false">
      <c r="A14" s="12" t="s">
        <v>162</v>
      </c>
      <c r="B14" s="12" t="s">
        <v>78</v>
      </c>
      <c r="C14" s="14" t="n">
        <v>2</v>
      </c>
      <c r="D14" s="14" t="n">
        <v>2</v>
      </c>
      <c r="E14" s="14" t="n">
        <v>11</v>
      </c>
      <c r="F14" s="14" t="n">
        <v>3</v>
      </c>
      <c r="G14" s="14" t="n">
        <v>2</v>
      </c>
      <c r="H14" s="14" t="n">
        <v>2</v>
      </c>
      <c r="I14" s="14" t="n">
        <v>3</v>
      </c>
      <c r="J14" s="15" t="n">
        <f aca="false">IF(C14&gt;0,D14/C14,"")</f>
        <v>1</v>
      </c>
      <c r="K14" s="15" t="n">
        <f aca="false">IF(E14&gt;0,F14/E14,"")</f>
        <v>0.272727272727273</v>
      </c>
      <c r="L14" s="18" t="n">
        <f aca="false">IF(H14&gt;0,ROUND(G14/H14,1),"")</f>
        <v>1</v>
      </c>
      <c r="M14" s="18" t="n">
        <f aca="false">IF(G14&gt;0,ROUND(I14/G14,1),"")</f>
        <v>1.5</v>
      </c>
    </row>
    <row r="15" customFormat="false" ht="15" hidden="false" customHeight="false" outlineLevel="0" collapsed="false">
      <c r="A15" s="12" t="s">
        <v>162</v>
      </c>
      <c r="B15" s="12" t="s">
        <v>75</v>
      </c>
      <c r="C15" s="14" t="n">
        <v>17</v>
      </c>
      <c r="D15" s="14" t="n">
        <v>14</v>
      </c>
      <c r="E15" s="14" t="n">
        <v>5</v>
      </c>
      <c r="F15" s="14" t="n">
        <v>2</v>
      </c>
      <c r="G15" s="14" t="n">
        <v>4</v>
      </c>
      <c r="H15" s="14" t="n">
        <v>4</v>
      </c>
      <c r="I15" s="14" t="n">
        <v>4</v>
      </c>
      <c r="J15" s="15" t="n">
        <f aca="false">IF(C15&gt;0,D15/C15,"")</f>
        <v>0.823529411764706</v>
      </c>
      <c r="K15" s="15" t="n">
        <f aca="false">IF(E15&gt;0,F15/E15,"")</f>
        <v>0.4</v>
      </c>
      <c r="L15" s="18" t="n">
        <f aca="false">IF(H15&gt;0,ROUND(G15/H15,1),"")</f>
        <v>1</v>
      </c>
      <c r="M15" s="18" t="n">
        <f aca="false">IF(G15&gt;0,ROUND(I15/G15,1),"")</f>
        <v>1</v>
      </c>
    </row>
    <row r="16" customFormat="false" ht="15" hidden="false" customHeight="false" outlineLevel="0" collapsed="false">
      <c r="A16" s="12"/>
      <c r="B16" s="12"/>
      <c r="C16" s="14"/>
      <c r="D16" s="14"/>
      <c r="E16" s="14"/>
      <c r="F16" s="14"/>
      <c r="G16" s="14"/>
      <c r="H16" s="14"/>
      <c r="I16" s="14"/>
      <c r="J16" s="15" t="str">
        <f aca="false">IF(C16&gt;0,D16/C16,"")</f>
        <v/>
      </c>
      <c r="K16" s="15" t="str">
        <f aca="false">IF(E16&gt;0,F16/E16,"")</f>
        <v/>
      </c>
      <c r="L16" s="18" t="str">
        <f aca="false">IF(H16&gt;0,ROUND(G16/H16,1),"")</f>
        <v/>
      </c>
      <c r="M16" s="18" t="str">
        <f aca="false">IF(G16&gt;0,ROUND(I16/G16,1),"")</f>
        <v/>
      </c>
    </row>
    <row r="17" customFormat="false" ht="15" hidden="false" customHeight="false" outlineLevel="0" collapsed="false">
      <c r="A17" s="12"/>
      <c r="B17" s="12"/>
      <c r="C17" s="14"/>
      <c r="D17" s="14"/>
      <c r="E17" s="14"/>
      <c r="F17" s="14"/>
      <c r="G17" s="14"/>
      <c r="H17" s="14"/>
      <c r="I17" s="14"/>
      <c r="J17" s="15" t="str">
        <f aca="false">IF(C17&gt;0,D17/C17,"")</f>
        <v/>
      </c>
      <c r="K17" s="15" t="str">
        <f aca="false">IF(E17&gt;0,F17/E17,"")</f>
        <v/>
      </c>
      <c r="L17" s="18" t="str">
        <f aca="false">IF(H17&gt;0,ROUND(G17/H17,1),"")</f>
        <v/>
      </c>
      <c r="M17" s="18" t="str">
        <f aca="false">IF(G17&gt;0,ROUND(I17/G17,1),"")</f>
        <v/>
      </c>
    </row>
    <row r="18" customFormat="false" ht="15" hidden="false" customHeight="false" outlineLevel="0" collapsed="false">
      <c r="A18" s="12"/>
      <c r="B18" s="12"/>
      <c r="C18" s="14"/>
      <c r="D18" s="14"/>
      <c r="E18" s="14"/>
      <c r="F18" s="14"/>
      <c r="G18" s="14"/>
      <c r="H18" s="14"/>
      <c r="I18" s="14"/>
      <c r="J18" s="15" t="str">
        <f aca="false">IF(C18&gt;0,D18/C18,"")</f>
        <v/>
      </c>
      <c r="K18" s="15" t="str">
        <f aca="false">IF(E18&gt;0,F18/E18,"")</f>
        <v/>
      </c>
      <c r="L18" s="18" t="str">
        <f aca="false">IF(H18&gt;0,ROUND(G18/H18,1),"")</f>
        <v/>
      </c>
      <c r="M18" s="18" t="str">
        <f aca="false">IF(G18&gt;0,ROUND(I18/G18,1),"")</f>
        <v/>
      </c>
    </row>
    <row r="19" customFormat="false" ht="15" hidden="false" customHeight="false" outlineLevel="0" collapsed="false">
      <c r="A19" s="12"/>
      <c r="B19" s="12"/>
      <c r="C19" s="14"/>
      <c r="D19" s="14"/>
      <c r="E19" s="14"/>
      <c r="F19" s="14"/>
      <c r="G19" s="14"/>
      <c r="H19" s="14"/>
      <c r="I19" s="14"/>
      <c r="J19" s="15" t="str">
        <f aca="false">IF(C19&gt;0,D19/C19,"")</f>
        <v/>
      </c>
      <c r="K19" s="15" t="str">
        <f aca="false">IF(E19&gt;0,F19/E19,"")</f>
        <v/>
      </c>
      <c r="L19" s="18" t="str">
        <f aca="false">IF(H19&gt;0,ROUND(G19/H19,1),"")</f>
        <v/>
      </c>
      <c r="M19" s="18" t="str">
        <f aca="false">IF(G19&gt;0,ROUND(I19/G19,1),"")</f>
        <v/>
      </c>
    </row>
    <row r="20" customFormat="false" ht="15" hidden="false" customHeight="false" outlineLevel="0" collapsed="false">
      <c r="A20" s="12"/>
      <c r="B20" s="12"/>
      <c r="C20" s="14"/>
      <c r="D20" s="14"/>
      <c r="E20" s="14"/>
      <c r="F20" s="14"/>
      <c r="G20" s="14"/>
      <c r="H20" s="14"/>
      <c r="I20" s="14"/>
      <c r="J20" s="15" t="str">
        <f aca="false">IF(C20&gt;0,D20/C20,"")</f>
        <v/>
      </c>
      <c r="K20" s="15" t="str">
        <f aca="false">IF(E20&gt;0,F20/E20,"")</f>
        <v/>
      </c>
      <c r="L20" s="18" t="str">
        <f aca="false">IF(H20&gt;0,ROUND(G20/H20,1),"")</f>
        <v/>
      </c>
      <c r="M20" s="18" t="str">
        <f aca="false">IF(G20&gt;0,ROUND(I20/G20,1),"")</f>
        <v/>
      </c>
    </row>
    <row r="21" customFormat="false" ht="15" hidden="false" customHeight="false" outlineLevel="0" collapsed="false">
      <c r="A21" s="12"/>
      <c r="B21" s="12"/>
      <c r="C21" s="14"/>
      <c r="D21" s="14"/>
      <c r="E21" s="14"/>
      <c r="F21" s="14"/>
      <c r="G21" s="14"/>
      <c r="H21" s="14"/>
      <c r="I21" s="14"/>
      <c r="J21" s="15" t="str">
        <f aca="false">IF(C21&gt;0,D21/C21,"")</f>
        <v/>
      </c>
      <c r="K21" s="15" t="str">
        <f aca="false">IF(E21&gt;0,F21/E21,"")</f>
        <v/>
      </c>
      <c r="L21" s="18" t="str">
        <f aca="false">IF(H21&gt;0,ROUND(G21/H21,1),"")</f>
        <v/>
      </c>
      <c r="M21" s="18" t="str">
        <f aca="false">IF(G21&gt;0,ROUND(I21/G21,1),"")</f>
        <v/>
      </c>
    </row>
    <row r="22" customFormat="false" ht="15" hidden="false" customHeight="false" outlineLevel="0" collapsed="false">
      <c r="A22" s="12"/>
      <c r="B22" s="12"/>
      <c r="C22" s="14"/>
      <c r="D22" s="14"/>
      <c r="E22" s="14"/>
      <c r="F22" s="14"/>
      <c r="G22" s="14"/>
      <c r="H22" s="14"/>
      <c r="I22" s="14"/>
      <c r="J22" s="15" t="str">
        <f aca="false">IF(C22&gt;0,D22/C22,"")</f>
        <v/>
      </c>
      <c r="K22" s="15" t="str">
        <f aca="false">IF(E22&gt;0,F22/E22,"")</f>
        <v/>
      </c>
      <c r="L22" s="18" t="str">
        <f aca="false">IF(H22&gt;0,ROUND(G22/H22,1),"")</f>
        <v/>
      </c>
      <c r="M22" s="18" t="str">
        <f aca="false">IF(G22&gt;0,ROUND(I22/G22,1),"")</f>
        <v/>
      </c>
    </row>
    <row r="23" customFormat="false" ht="15" hidden="false" customHeight="false" outlineLevel="0" collapsed="false">
      <c r="A23" s="12"/>
      <c r="B23" s="12"/>
      <c r="C23" s="14"/>
      <c r="D23" s="14"/>
      <c r="E23" s="14"/>
      <c r="F23" s="14"/>
      <c r="G23" s="14"/>
      <c r="H23" s="14"/>
      <c r="I23" s="14"/>
      <c r="J23" s="15" t="str">
        <f aca="false">IF(C23&gt;0,D23/C23,"")</f>
        <v/>
      </c>
      <c r="K23" s="15" t="str">
        <f aca="false">IF(E23&gt;0,F23/E23,"")</f>
        <v/>
      </c>
      <c r="L23" s="18" t="str">
        <f aca="false">IF(H23&gt;0,ROUND(G23/H23,1),"")</f>
        <v/>
      </c>
      <c r="M23" s="18" t="str">
        <f aca="false">IF(G23&gt;0,ROUND(I23/G23,1),"")</f>
        <v/>
      </c>
    </row>
    <row r="24" customFormat="false" ht="15" hidden="false" customHeight="false" outlineLevel="0" collapsed="false">
      <c r="A24" s="12"/>
      <c r="B24" s="12"/>
      <c r="C24" s="14"/>
      <c r="D24" s="14"/>
      <c r="E24" s="14"/>
      <c r="F24" s="14"/>
      <c r="G24" s="14"/>
      <c r="H24" s="14"/>
      <c r="I24" s="14"/>
      <c r="J24" s="15" t="str">
        <f aca="false">IF(C24&gt;0,D24/C24,"")</f>
        <v/>
      </c>
      <c r="K24" s="15" t="str">
        <f aca="false">IF(E24&gt;0,F24/E24,"")</f>
        <v/>
      </c>
      <c r="L24" s="18" t="str">
        <f aca="false">IF(H24&gt;0,ROUND(G24/H24,1),"")</f>
        <v/>
      </c>
      <c r="M24" s="18" t="str">
        <f aca="false">IF(G24&gt;0,ROUND(I24/G24,1),"")</f>
        <v/>
      </c>
    </row>
    <row r="25" customFormat="false" ht="15" hidden="false" customHeight="false" outlineLevel="0" collapsed="false">
      <c r="A25" s="12"/>
      <c r="B25" s="12"/>
      <c r="C25" s="14"/>
      <c r="D25" s="14"/>
      <c r="E25" s="14"/>
      <c r="F25" s="14"/>
      <c r="G25" s="14"/>
      <c r="H25" s="14"/>
      <c r="I25" s="14"/>
      <c r="J25" s="15" t="str">
        <f aca="false">IF(C25&gt;0,D25/C25,"")</f>
        <v/>
      </c>
      <c r="K25" s="15" t="str">
        <f aca="false">IF(E25&gt;0,F25/E25,"")</f>
        <v/>
      </c>
      <c r="L25" s="18" t="str">
        <f aca="false">IF(H25&gt;0,ROUND(G25/H25,1),"")</f>
        <v/>
      </c>
      <c r="M25" s="18" t="str">
        <f aca="false">IF(G25&gt;0,ROUND(I25/G25,1),"")</f>
        <v/>
      </c>
    </row>
    <row r="26" customFormat="false" ht="15" hidden="false" customHeight="false" outlineLevel="0" collapsed="false">
      <c r="A26" s="12"/>
      <c r="B26" s="12"/>
      <c r="C26" s="14"/>
      <c r="D26" s="14"/>
      <c r="E26" s="14"/>
      <c r="F26" s="14"/>
      <c r="G26" s="14"/>
      <c r="H26" s="14"/>
      <c r="I26" s="14"/>
      <c r="J26" s="15" t="str">
        <f aca="false">IF(C26&gt;0,D26/C26,"")</f>
        <v/>
      </c>
      <c r="K26" s="15" t="str">
        <f aca="false">IF(E26&gt;0,F26/E26,"")</f>
        <v/>
      </c>
      <c r="L26" s="18" t="str">
        <f aca="false">IF(H26&gt;0,ROUND(G26/H26,1),"")</f>
        <v/>
      </c>
      <c r="M26" s="18" t="str">
        <f aca="false">IF(G26&gt;0,ROUND(I26/G26,1),"")</f>
        <v/>
      </c>
    </row>
    <row r="27" customFormat="false" ht="15" hidden="false" customHeight="false" outlineLevel="0" collapsed="false">
      <c r="A27" s="12"/>
      <c r="B27" s="12"/>
      <c r="C27" s="14"/>
      <c r="D27" s="14"/>
      <c r="E27" s="14"/>
      <c r="F27" s="14"/>
      <c r="G27" s="14"/>
      <c r="H27" s="14"/>
      <c r="I27" s="14"/>
      <c r="J27" s="15" t="str">
        <f aca="false">IF(C27&gt;0,D27/C27,"")</f>
        <v/>
      </c>
      <c r="K27" s="15" t="str">
        <f aca="false">IF(E27&gt;0,F27/E27,"")</f>
        <v/>
      </c>
      <c r="L27" s="18" t="str">
        <f aca="false">IF(H27&gt;0,ROUND(G27/H27,1),"")</f>
        <v/>
      </c>
      <c r="M27" s="18" t="str">
        <f aca="false">IF(G27&gt;0,ROUND(I27/G27,1),"")</f>
        <v/>
      </c>
    </row>
    <row r="28" customFormat="false" ht="15" hidden="false" customHeight="false" outlineLevel="0" collapsed="false">
      <c r="A28" s="12"/>
      <c r="B28" s="12"/>
      <c r="C28" s="14"/>
      <c r="D28" s="14"/>
      <c r="E28" s="14"/>
      <c r="F28" s="14"/>
      <c r="G28" s="14"/>
      <c r="H28" s="14"/>
      <c r="I28" s="14"/>
      <c r="J28" s="15" t="str">
        <f aca="false">IF(C28&gt;0,D28/C28,"")</f>
        <v/>
      </c>
      <c r="K28" s="15" t="str">
        <f aca="false">IF(E28&gt;0,F28/E28,"")</f>
        <v/>
      </c>
      <c r="L28" s="18" t="str">
        <f aca="false">IF(H28&gt;0,ROUND(G28/H28,1),"")</f>
        <v/>
      </c>
      <c r="M28" s="18" t="str">
        <f aca="false">IF(G28&gt;0,ROUND(I28/G28,1),"")</f>
        <v/>
      </c>
    </row>
    <row r="29" customFormat="false" ht="15" hidden="false" customHeight="false" outlineLevel="0" collapsed="false">
      <c r="A29" s="12"/>
      <c r="B29" s="12"/>
      <c r="C29" s="14"/>
      <c r="D29" s="14"/>
      <c r="E29" s="14"/>
      <c r="F29" s="14"/>
      <c r="G29" s="14"/>
      <c r="H29" s="14"/>
      <c r="I29" s="14"/>
      <c r="J29" s="15" t="str">
        <f aca="false">IF(C29&gt;0,D29/C29,"")</f>
        <v/>
      </c>
      <c r="K29" s="15" t="str">
        <f aca="false">IF(E29&gt;0,F29/E29,"")</f>
        <v/>
      </c>
      <c r="L29" s="18" t="str">
        <f aca="false">IF(H29&gt;0,ROUND(G29/H29,1),"")</f>
        <v/>
      </c>
      <c r="M29" s="18" t="str">
        <f aca="false">IF(G29&gt;0,ROUND(I29/G29,1),"")</f>
        <v/>
      </c>
    </row>
    <row r="30" customFormat="false" ht="15" hidden="false" customHeight="false" outlineLevel="0" collapsed="false">
      <c r="A30" s="12"/>
      <c r="B30" s="12"/>
      <c r="C30" s="14"/>
      <c r="D30" s="14"/>
      <c r="E30" s="14"/>
      <c r="F30" s="14"/>
      <c r="G30" s="14"/>
      <c r="H30" s="14"/>
      <c r="I30" s="14"/>
      <c r="J30" s="15" t="str">
        <f aca="false">IF(C30&gt;0,D30/C30,"")</f>
        <v/>
      </c>
      <c r="K30" s="15" t="str">
        <f aca="false">IF(E30&gt;0,F30/E30,"")</f>
        <v/>
      </c>
      <c r="L30" s="18" t="str">
        <f aca="false">IF(H30&gt;0,ROUND(G30/H30,1),"")</f>
        <v/>
      </c>
      <c r="M30" s="18" t="str">
        <f aca="false">IF(G30&gt;0,ROUND(I30/G30,1),"")</f>
        <v/>
      </c>
    </row>
    <row r="31" customFormat="false" ht="15" hidden="false" customHeight="false" outlineLevel="0" collapsed="false">
      <c r="A31" s="12"/>
      <c r="B31" s="12"/>
      <c r="C31" s="14"/>
      <c r="D31" s="14"/>
      <c r="E31" s="14"/>
      <c r="F31" s="14"/>
      <c r="G31" s="14"/>
      <c r="H31" s="14"/>
      <c r="I31" s="14"/>
      <c r="J31" s="15" t="str">
        <f aca="false">IF(C31&gt;0,D31/C31,"")</f>
        <v/>
      </c>
      <c r="K31" s="15" t="str">
        <f aca="false">IF(E31&gt;0,F31/E31,"")</f>
        <v/>
      </c>
      <c r="L31" s="18" t="str">
        <f aca="false">IF(H31&gt;0,ROUND(G31/H31,1),"")</f>
        <v/>
      </c>
      <c r="M31" s="18" t="str">
        <f aca="false">IF(G31&gt;0,ROUND(I31/G31,1),"")</f>
        <v/>
      </c>
    </row>
    <row r="32" customFormat="false" ht="15" hidden="false" customHeight="false" outlineLevel="0" collapsed="false">
      <c r="A32" s="12"/>
      <c r="B32" s="12"/>
      <c r="C32" s="14"/>
      <c r="D32" s="14"/>
      <c r="E32" s="14"/>
      <c r="F32" s="14"/>
      <c r="G32" s="14"/>
      <c r="H32" s="14"/>
      <c r="I32" s="14"/>
      <c r="J32" s="15" t="str">
        <f aca="false">IF(C32&gt;0,D32/C32,"")</f>
        <v/>
      </c>
      <c r="K32" s="15" t="str">
        <f aca="false">IF(E32&gt;0,F32/E32,"")</f>
        <v/>
      </c>
      <c r="L32" s="18" t="str">
        <f aca="false">IF(H32&gt;0,ROUND(G32/H32,1),"")</f>
        <v/>
      </c>
      <c r="M32" s="18" t="str">
        <f aca="false">IF(G32&gt;0,ROUND(I32/G32,1),"")</f>
        <v/>
      </c>
    </row>
    <row r="33" customFormat="false" ht="15" hidden="false" customHeight="false" outlineLevel="0" collapsed="false">
      <c r="A33" s="12"/>
      <c r="B33" s="12"/>
      <c r="C33" s="14"/>
      <c r="D33" s="14"/>
      <c r="E33" s="14"/>
      <c r="F33" s="14"/>
      <c r="G33" s="14"/>
      <c r="H33" s="14"/>
      <c r="I33" s="14"/>
      <c r="J33" s="15" t="str">
        <f aca="false">IF(C33&gt;0,D33/C33,"")</f>
        <v/>
      </c>
      <c r="K33" s="15" t="str">
        <f aca="false">IF(E33&gt;0,F33/E33,"")</f>
        <v/>
      </c>
      <c r="L33" s="18" t="str">
        <f aca="false">IF(H33&gt;0,ROUND(G33/H33,1),"")</f>
        <v/>
      </c>
      <c r="M33" s="18" t="str">
        <f aca="false">IF(G33&gt;0,ROUND(I33/G33,1),"")</f>
        <v/>
      </c>
    </row>
    <row r="34" customFormat="false" ht="15" hidden="false" customHeight="false" outlineLevel="0" collapsed="false">
      <c r="A34" s="12"/>
      <c r="B34" s="12"/>
      <c r="C34" s="14"/>
      <c r="D34" s="14"/>
      <c r="E34" s="14"/>
      <c r="F34" s="14"/>
      <c r="G34" s="14"/>
      <c r="H34" s="14"/>
      <c r="I34" s="14"/>
      <c r="J34" s="15" t="str">
        <f aca="false">IF(C34&gt;0,D34/C34,"")</f>
        <v/>
      </c>
      <c r="K34" s="15" t="str">
        <f aca="false">IF(E34&gt;0,F34/E34,"")</f>
        <v/>
      </c>
      <c r="L34" s="18" t="str">
        <f aca="false">IF(H34&gt;0,ROUND(G34/H34,1),"")</f>
        <v/>
      </c>
      <c r="M34" s="18" t="str">
        <f aca="false">IF(G34&gt;0,ROUND(I34/G34,1),"")</f>
        <v/>
      </c>
    </row>
    <row r="35" customFormat="false" ht="15" hidden="false" customHeight="false" outlineLevel="0" collapsed="false">
      <c r="A35" s="12"/>
      <c r="B35" s="12"/>
      <c r="C35" s="14"/>
      <c r="D35" s="14"/>
      <c r="E35" s="14"/>
      <c r="F35" s="14"/>
      <c r="G35" s="14"/>
      <c r="H35" s="14"/>
      <c r="I35" s="14"/>
      <c r="J35" s="15" t="str">
        <f aca="false">IF(C35&gt;0,D35/C35,"")</f>
        <v/>
      </c>
      <c r="K35" s="15" t="str">
        <f aca="false">IF(E35&gt;0,F35/E35,"")</f>
        <v/>
      </c>
      <c r="L35" s="18" t="str">
        <f aca="false">IF(H35&gt;0,ROUND(G35/H35,1),"")</f>
        <v/>
      </c>
      <c r="M35" s="18" t="str">
        <f aca="false">IF(G35&gt;0,ROUND(I35/G35,1),"")</f>
        <v/>
      </c>
    </row>
    <row r="36" customFormat="false" ht="15" hidden="false" customHeight="false" outlineLevel="0" collapsed="false">
      <c r="A36" s="12"/>
      <c r="B36" s="12"/>
      <c r="C36" s="14"/>
      <c r="D36" s="14"/>
      <c r="E36" s="14"/>
      <c r="F36" s="14"/>
      <c r="G36" s="14"/>
      <c r="H36" s="14"/>
      <c r="I36" s="14"/>
      <c r="J36" s="15" t="str">
        <f aca="false">IF(C36&gt;0,D36/C36,"")</f>
        <v/>
      </c>
      <c r="K36" s="15" t="str">
        <f aca="false">IF(E36&gt;0,F36/E36,"")</f>
        <v/>
      </c>
      <c r="L36" s="18" t="str">
        <f aca="false">IF(H36&gt;0,ROUND(G36/H36,1),"")</f>
        <v/>
      </c>
      <c r="M36" s="18" t="str">
        <f aca="false">IF(G36&gt;0,ROUND(I36/G36,1),"")</f>
        <v/>
      </c>
    </row>
    <row r="37" customFormat="false" ht="15" hidden="false" customHeight="false" outlineLevel="0" collapsed="false">
      <c r="A37" s="12"/>
      <c r="B37" s="12"/>
      <c r="C37" s="14"/>
      <c r="D37" s="14"/>
      <c r="E37" s="14"/>
      <c r="F37" s="14"/>
      <c r="G37" s="14"/>
      <c r="H37" s="14"/>
      <c r="I37" s="14"/>
      <c r="J37" s="15" t="str">
        <f aca="false">IF(C37&gt;0,D37/C37,"")</f>
        <v/>
      </c>
      <c r="K37" s="15" t="str">
        <f aca="false">IF(E37&gt;0,F37/E37,"")</f>
        <v/>
      </c>
      <c r="L37" s="18" t="str">
        <f aca="false">IF(H37&gt;0,ROUND(G37/H37,1),"")</f>
        <v/>
      </c>
      <c r="M37" s="18" t="str">
        <f aca="false">IF(G37&gt;0,ROUND(I37/G37,1),"")</f>
        <v/>
      </c>
    </row>
    <row r="38" customFormat="false" ht="15" hidden="false" customHeight="false" outlineLevel="0" collapsed="false">
      <c r="A38" s="12"/>
      <c r="B38" s="12"/>
      <c r="C38" s="14"/>
      <c r="D38" s="14"/>
      <c r="E38" s="14"/>
      <c r="F38" s="14"/>
      <c r="G38" s="14"/>
      <c r="H38" s="14"/>
      <c r="I38" s="14"/>
      <c r="J38" s="15" t="str">
        <f aca="false">IF(C38&gt;0,D38/C38,"")</f>
        <v/>
      </c>
      <c r="K38" s="15" t="str">
        <f aca="false">IF(E38&gt;0,F38/E38,"")</f>
        <v/>
      </c>
      <c r="L38" s="18" t="str">
        <f aca="false">IF(H38&gt;0,ROUND(G38/H38,1),"")</f>
        <v/>
      </c>
      <c r="M38" s="18" t="str">
        <f aca="false">IF(G38&gt;0,ROUND(I38/G38,1),"")</f>
        <v/>
      </c>
    </row>
    <row r="39" customFormat="false" ht="15" hidden="false" customHeight="false" outlineLevel="0" collapsed="false">
      <c r="A39" s="12"/>
      <c r="B39" s="12"/>
      <c r="C39" s="14"/>
      <c r="D39" s="14"/>
      <c r="E39" s="14"/>
      <c r="F39" s="14"/>
      <c r="G39" s="14"/>
      <c r="H39" s="14"/>
      <c r="I39" s="14"/>
      <c r="J39" s="15" t="str">
        <f aca="false">IF(C39&gt;0,D39/C39,"")</f>
        <v/>
      </c>
      <c r="K39" s="15" t="str">
        <f aca="false">IF(E39&gt;0,F39/E39,"")</f>
        <v/>
      </c>
      <c r="L39" s="18" t="str">
        <f aca="false">IF(H39&gt;0,ROUND(G39/H39,1),"")</f>
        <v/>
      </c>
      <c r="M39" s="18" t="str">
        <f aca="false">IF(G39&gt;0,ROUND(I39/G39,1),"")</f>
        <v/>
      </c>
    </row>
    <row r="40" customFormat="false" ht="15" hidden="false" customHeight="false" outlineLevel="0" collapsed="false">
      <c r="A40" s="12"/>
      <c r="B40" s="12"/>
      <c r="C40" s="14"/>
      <c r="D40" s="14"/>
      <c r="E40" s="14"/>
      <c r="F40" s="14"/>
      <c r="G40" s="14"/>
      <c r="H40" s="14"/>
      <c r="I40" s="14"/>
      <c r="J40" s="15" t="str">
        <f aca="false">IF(C40&gt;0,D40/C40,"")</f>
        <v/>
      </c>
      <c r="K40" s="15" t="str">
        <f aca="false">IF(E40&gt;0,F40/E40,"")</f>
        <v/>
      </c>
      <c r="L40" s="18" t="str">
        <f aca="false">IF(H40&gt;0,ROUND(G40/H40,1),"")</f>
        <v/>
      </c>
      <c r="M40" s="18" t="str">
        <f aca="false">IF(G40&gt;0,ROUND(I40/G40,1),"")</f>
        <v/>
      </c>
    </row>
    <row r="41" customFormat="false" ht="15" hidden="false" customHeight="false" outlineLevel="0" collapsed="false">
      <c r="A41" s="12"/>
      <c r="B41" s="12"/>
      <c r="C41" s="14"/>
      <c r="D41" s="14"/>
      <c r="E41" s="14"/>
      <c r="F41" s="14"/>
      <c r="G41" s="14"/>
      <c r="H41" s="14"/>
      <c r="I41" s="14"/>
      <c r="J41" s="15" t="str">
        <f aca="false">IF(C41&gt;0,D41/C41,"")</f>
        <v/>
      </c>
      <c r="K41" s="15" t="str">
        <f aca="false">IF(E41&gt;0,F41/E41,"")</f>
        <v/>
      </c>
      <c r="L41" s="18" t="str">
        <f aca="false">IF(H41&gt;0,ROUND(G41/H41,1),"")</f>
        <v/>
      </c>
      <c r="M41" s="18" t="str">
        <f aca="false">IF(G41&gt;0,ROUND(I41/G41,1),"")</f>
        <v/>
      </c>
    </row>
    <row r="42" customFormat="false" ht="15" hidden="false" customHeight="false" outlineLevel="0" collapsed="false">
      <c r="A42" s="12"/>
      <c r="B42" s="12"/>
      <c r="C42" s="14"/>
      <c r="D42" s="14"/>
      <c r="E42" s="14"/>
      <c r="F42" s="14"/>
      <c r="G42" s="14"/>
      <c r="H42" s="14"/>
      <c r="I42" s="14"/>
      <c r="J42" s="15" t="str">
        <f aca="false">IF(C42&gt;0,D42/C42,"")</f>
        <v/>
      </c>
      <c r="K42" s="15" t="str">
        <f aca="false">IF(E42&gt;0,F42/E42,"")</f>
        <v/>
      </c>
      <c r="L42" s="18" t="str">
        <f aca="false">IF(H42&gt;0,ROUND(G42/H42,1),"")</f>
        <v/>
      </c>
      <c r="M42" s="18" t="str">
        <f aca="false">IF(G42&gt;0,ROUND(I42/G42,1),"")</f>
        <v/>
      </c>
    </row>
    <row r="43" customFormat="false" ht="15" hidden="false" customHeight="false" outlineLevel="0" collapsed="false">
      <c r="A43" s="12"/>
      <c r="B43" s="12"/>
      <c r="C43" s="14"/>
      <c r="D43" s="14"/>
      <c r="E43" s="14"/>
      <c r="F43" s="14"/>
      <c r="G43" s="14"/>
      <c r="H43" s="14"/>
      <c r="I43" s="14"/>
      <c r="J43" s="15" t="str">
        <f aca="false">IF(C43&gt;0,D43/C43,"")</f>
        <v/>
      </c>
      <c r="K43" s="15" t="str">
        <f aca="false">IF(E43&gt;0,F43/E43,"")</f>
        <v/>
      </c>
      <c r="L43" s="18" t="str">
        <f aca="false">IF(H43&gt;0,ROUND(G43/H43,1),"")</f>
        <v/>
      </c>
      <c r="M43" s="18" t="str">
        <f aca="false">IF(G43&gt;0,ROUND(I43/G43,1),"")</f>
        <v/>
      </c>
    </row>
  </sheetData>
  <dataValidations count="7">
    <dataValidation allowBlank="true" error="Numbers only" errorStyle="stop" operator="between" showDropDown="false" showErrorMessage="true" showInputMessage="false" sqref="C4:C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D4:D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E4:E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F4:F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G4:G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H4:H43" type="decimal">
      <formula1>-100000</formula1>
      <formula2>100000</formula2>
    </dataValidation>
    <dataValidation allowBlank="true" error="Numbers only" errorStyle="stop" operator="between" showDropDown="false" showErrorMessage="true" showInputMessage="false" sqref="I4:I43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78"/>
    <pageSetUpPr fitToPage="false"/>
  </sheetPr>
  <dimension ref="A1:E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8" t="s">
        <v>163</v>
      </c>
    </row>
    <row r="2" customFormat="false" ht="15" hidden="false" customHeight="false" outlineLevel="0" collapsed="false">
      <c r="A2" s="7" t="s">
        <v>164</v>
      </c>
    </row>
    <row r="3" customFormat="false" ht="30" hidden="false" customHeight="true" outlineLevel="0" collapsed="false">
      <c r="A3" s="13" t="s">
        <v>165</v>
      </c>
      <c r="B3" s="13" t="s">
        <v>166</v>
      </c>
      <c r="C3" s="13" t="s">
        <v>104</v>
      </c>
      <c r="D3" s="13" t="s">
        <v>137</v>
      </c>
      <c r="E3" s="13" t="s">
        <v>167</v>
      </c>
    </row>
    <row r="4" customFormat="false" ht="15" hidden="false" customHeight="false" outlineLevel="0" collapsed="false">
      <c r="A4" s="12" t="s">
        <v>55</v>
      </c>
      <c r="B4" s="12" t="s">
        <v>168</v>
      </c>
      <c r="C4" s="11" t="n">
        <v>46311</v>
      </c>
      <c r="D4" s="14"/>
      <c r="E4" s="17" t="s">
        <v>169</v>
      </c>
    </row>
    <row r="5" customFormat="false" ht="15" hidden="false" customHeight="false" outlineLevel="0" collapsed="false">
      <c r="A5" s="12" t="s">
        <v>55</v>
      </c>
      <c r="B5" s="12" t="s">
        <v>168</v>
      </c>
      <c r="C5" s="11" t="n">
        <v>46311</v>
      </c>
      <c r="D5" s="14"/>
      <c r="E5" s="17" t="s">
        <v>170</v>
      </c>
    </row>
    <row r="6" customFormat="false" ht="15" hidden="false" customHeight="false" outlineLevel="0" collapsed="false">
      <c r="A6" s="12" t="s">
        <v>171</v>
      </c>
      <c r="B6" s="12" t="s">
        <v>172</v>
      </c>
      <c r="C6" s="11" t="n">
        <v>46311</v>
      </c>
      <c r="D6" s="14"/>
      <c r="E6" s="17" t="s">
        <v>173</v>
      </c>
    </row>
    <row r="7" customFormat="false" ht="15" hidden="false" customHeight="false" outlineLevel="0" collapsed="false">
      <c r="A7" s="12" t="s">
        <v>174</v>
      </c>
      <c r="B7" s="12" t="s">
        <v>138</v>
      </c>
      <c r="C7" s="11" t="n">
        <v>46310</v>
      </c>
      <c r="D7" s="14" t="n">
        <v>4</v>
      </c>
      <c r="E7" s="17" t="s">
        <v>175</v>
      </c>
    </row>
    <row r="8" customFormat="false" ht="26.85" hidden="false" customHeight="false" outlineLevel="0" collapsed="false">
      <c r="A8" s="12" t="s">
        <v>174</v>
      </c>
      <c r="B8" s="12" t="s">
        <v>140</v>
      </c>
      <c r="C8" s="11" t="n">
        <v>46310</v>
      </c>
      <c r="D8" s="14" t="n">
        <v>1</v>
      </c>
      <c r="E8" s="17" t="s">
        <v>176</v>
      </c>
    </row>
    <row r="9" customFormat="false" ht="26.85" hidden="false" customHeight="false" outlineLevel="0" collapsed="false">
      <c r="A9" s="12" t="s">
        <v>174</v>
      </c>
      <c r="B9" s="12" t="s">
        <v>141</v>
      </c>
      <c r="C9" s="11" t="n">
        <v>46310</v>
      </c>
      <c r="D9" s="14" t="n">
        <v>1</v>
      </c>
      <c r="E9" s="17" t="s">
        <v>177</v>
      </c>
    </row>
    <row r="10" customFormat="false" ht="26.85" hidden="false" customHeight="false" outlineLevel="0" collapsed="false">
      <c r="A10" s="12" t="s">
        <v>174</v>
      </c>
      <c r="B10" s="12" t="s">
        <v>142</v>
      </c>
      <c r="C10" s="11" t="n">
        <v>46310</v>
      </c>
      <c r="D10" s="14" t="n">
        <v>1</v>
      </c>
      <c r="E10" s="17" t="s">
        <v>178</v>
      </c>
    </row>
    <row r="11" customFormat="false" ht="26.85" hidden="false" customHeight="false" outlineLevel="0" collapsed="false">
      <c r="A11" s="12" t="s">
        <v>174</v>
      </c>
      <c r="B11" s="12" t="s">
        <v>179</v>
      </c>
      <c r="C11" s="11" t="n">
        <v>46310</v>
      </c>
      <c r="D11" s="14" t="n">
        <v>2</v>
      </c>
      <c r="E11" s="17" t="s">
        <v>180</v>
      </c>
    </row>
    <row r="12" customFormat="false" ht="26.85" hidden="false" customHeight="false" outlineLevel="0" collapsed="false">
      <c r="A12" s="12" t="s">
        <v>174</v>
      </c>
      <c r="B12" s="12" t="s">
        <v>179</v>
      </c>
      <c r="C12" s="11" t="n">
        <v>46310</v>
      </c>
      <c r="D12" s="14" t="n">
        <v>2</v>
      </c>
      <c r="E12" s="17" t="s">
        <v>181</v>
      </c>
    </row>
    <row r="13" customFormat="false" ht="15" hidden="false" customHeight="false" outlineLevel="0" collapsed="false">
      <c r="A13" s="12"/>
      <c r="B13" s="12"/>
      <c r="C13" s="11"/>
      <c r="D13" s="14"/>
      <c r="E13" s="17"/>
    </row>
    <row r="14" customFormat="false" ht="15" hidden="false" customHeight="false" outlineLevel="0" collapsed="false">
      <c r="A14" s="12"/>
      <c r="B14" s="12"/>
      <c r="C14" s="11"/>
      <c r="D14" s="14"/>
      <c r="E14" s="17"/>
    </row>
    <row r="15" customFormat="false" ht="15" hidden="false" customHeight="false" outlineLevel="0" collapsed="false">
      <c r="A15" s="12"/>
      <c r="B15" s="12"/>
      <c r="C15" s="11"/>
      <c r="D15" s="14"/>
      <c r="E15" s="17"/>
    </row>
    <row r="16" customFormat="false" ht="15" hidden="false" customHeight="false" outlineLevel="0" collapsed="false">
      <c r="A16" s="12"/>
      <c r="B16" s="12"/>
      <c r="C16" s="11"/>
      <c r="D16" s="14"/>
      <c r="E16" s="17"/>
    </row>
    <row r="17" customFormat="false" ht="15" hidden="false" customHeight="false" outlineLevel="0" collapsed="false">
      <c r="A17" s="12"/>
      <c r="B17" s="12"/>
      <c r="C17" s="11"/>
      <c r="D17" s="14"/>
      <c r="E17" s="17"/>
    </row>
    <row r="18" customFormat="false" ht="15" hidden="false" customHeight="false" outlineLevel="0" collapsed="false">
      <c r="A18" s="12"/>
      <c r="B18" s="12"/>
      <c r="C18" s="11"/>
      <c r="D18" s="14"/>
      <c r="E18" s="17"/>
    </row>
    <row r="19" customFormat="false" ht="15" hidden="false" customHeight="false" outlineLevel="0" collapsed="false">
      <c r="A19" s="12"/>
      <c r="B19" s="12"/>
      <c r="C19" s="11"/>
      <c r="D19" s="14"/>
      <c r="E19" s="17"/>
    </row>
    <row r="20" customFormat="false" ht="15" hidden="false" customHeight="false" outlineLevel="0" collapsed="false">
      <c r="A20" s="12"/>
      <c r="B20" s="12"/>
      <c r="C20" s="11"/>
      <c r="D20" s="14"/>
      <c r="E20" s="17"/>
    </row>
    <row r="21" customFormat="false" ht="15" hidden="false" customHeight="false" outlineLevel="0" collapsed="false">
      <c r="A21" s="12"/>
      <c r="B21" s="12"/>
      <c r="C21" s="11"/>
      <c r="D21" s="14"/>
      <c r="E21" s="17"/>
    </row>
    <row r="22" customFormat="false" ht="15" hidden="false" customHeight="false" outlineLevel="0" collapsed="false">
      <c r="A22" s="12"/>
      <c r="B22" s="12"/>
      <c r="C22" s="11"/>
      <c r="D22" s="14"/>
      <c r="E22" s="17"/>
    </row>
    <row r="23" customFormat="false" ht="15" hidden="false" customHeight="false" outlineLevel="0" collapsed="false">
      <c r="A23" s="12"/>
      <c r="B23" s="12"/>
      <c r="C23" s="11"/>
      <c r="D23" s="14"/>
      <c r="E23" s="17"/>
    </row>
    <row r="24" customFormat="false" ht="15" hidden="false" customHeight="false" outlineLevel="0" collapsed="false">
      <c r="A24" s="12"/>
      <c r="B24" s="12"/>
      <c r="C24" s="11"/>
      <c r="D24" s="14"/>
      <c r="E24" s="17"/>
    </row>
    <row r="25" customFormat="false" ht="15" hidden="false" customHeight="false" outlineLevel="0" collapsed="false">
      <c r="A25" s="12"/>
      <c r="B25" s="12"/>
      <c r="C25" s="11"/>
      <c r="D25" s="14"/>
      <c r="E25" s="17"/>
    </row>
    <row r="26" customFormat="false" ht="15" hidden="false" customHeight="false" outlineLevel="0" collapsed="false">
      <c r="A26" s="12"/>
      <c r="B26" s="12"/>
      <c r="C26" s="11"/>
      <c r="D26" s="14"/>
      <c r="E26" s="17"/>
    </row>
    <row r="27" customFormat="false" ht="15" hidden="false" customHeight="false" outlineLevel="0" collapsed="false">
      <c r="A27" s="12"/>
      <c r="B27" s="12"/>
      <c r="C27" s="11"/>
      <c r="D27" s="14"/>
      <c r="E27" s="17"/>
    </row>
    <row r="28" customFormat="false" ht="15" hidden="false" customHeight="false" outlineLevel="0" collapsed="false">
      <c r="A28" s="12"/>
      <c r="B28" s="12"/>
      <c r="C28" s="11"/>
      <c r="D28" s="14"/>
      <c r="E28" s="17"/>
    </row>
    <row r="29" customFormat="false" ht="15" hidden="false" customHeight="false" outlineLevel="0" collapsed="false">
      <c r="A29" s="12"/>
      <c r="B29" s="12"/>
      <c r="C29" s="11"/>
      <c r="D29" s="14"/>
      <c r="E29" s="17"/>
    </row>
    <row r="30" customFormat="false" ht="15" hidden="false" customHeight="false" outlineLevel="0" collapsed="false">
      <c r="A30" s="12"/>
      <c r="B30" s="12"/>
      <c r="C30" s="11"/>
      <c r="D30" s="14"/>
      <c r="E30" s="17"/>
    </row>
    <row r="31" customFormat="false" ht="15" hidden="false" customHeight="false" outlineLevel="0" collapsed="false">
      <c r="A31" s="12"/>
      <c r="B31" s="12"/>
      <c r="C31" s="11"/>
      <c r="D31" s="14"/>
      <c r="E31" s="17"/>
    </row>
    <row r="32" customFormat="false" ht="15" hidden="false" customHeight="false" outlineLevel="0" collapsed="false">
      <c r="A32" s="12"/>
      <c r="B32" s="12"/>
      <c r="C32" s="11"/>
      <c r="D32" s="14"/>
      <c r="E32" s="17"/>
    </row>
    <row r="33" customFormat="false" ht="15" hidden="false" customHeight="false" outlineLevel="0" collapsed="false">
      <c r="A33" s="12"/>
      <c r="B33" s="12"/>
      <c r="C33" s="11"/>
      <c r="D33" s="14"/>
      <c r="E33" s="17"/>
    </row>
    <row r="34" customFormat="false" ht="15" hidden="false" customHeight="false" outlineLevel="0" collapsed="false">
      <c r="A34" s="12"/>
      <c r="B34" s="12"/>
      <c r="C34" s="11"/>
      <c r="D34" s="14"/>
      <c r="E34" s="17"/>
    </row>
    <row r="35" customFormat="false" ht="15" hidden="false" customHeight="false" outlineLevel="0" collapsed="false">
      <c r="A35" s="12"/>
      <c r="B35" s="12"/>
      <c r="C35" s="11"/>
      <c r="D35" s="14"/>
      <c r="E35" s="17"/>
    </row>
    <row r="36" customFormat="false" ht="15" hidden="false" customHeight="false" outlineLevel="0" collapsed="false">
      <c r="A36" s="12"/>
      <c r="B36" s="12"/>
      <c r="C36" s="11"/>
      <c r="D36" s="14"/>
      <c r="E36" s="17"/>
    </row>
    <row r="37" customFormat="false" ht="15" hidden="false" customHeight="false" outlineLevel="0" collapsed="false">
      <c r="A37" s="12"/>
      <c r="B37" s="12"/>
      <c r="C37" s="11"/>
      <c r="D37" s="14"/>
      <c r="E37" s="17"/>
    </row>
    <row r="38" customFormat="false" ht="15" hidden="false" customHeight="false" outlineLevel="0" collapsed="false">
      <c r="A38" s="12"/>
      <c r="B38" s="12"/>
      <c r="C38" s="11"/>
      <c r="D38" s="14"/>
      <c r="E38" s="17"/>
    </row>
    <row r="39" customFormat="false" ht="15" hidden="false" customHeight="false" outlineLevel="0" collapsed="false">
      <c r="A39" s="12"/>
      <c r="B39" s="12"/>
      <c r="C39" s="11"/>
      <c r="D39" s="14"/>
      <c r="E39" s="17"/>
    </row>
    <row r="40" customFormat="false" ht="15" hidden="false" customHeight="false" outlineLevel="0" collapsed="false">
      <c r="A40" s="12"/>
      <c r="B40" s="12"/>
      <c r="C40" s="11"/>
      <c r="D40" s="14"/>
      <c r="E40" s="17"/>
    </row>
    <row r="41" customFormat="false" ht="15" hidden="false" customHeight="false" outlineLevel="0" collapsed="false">
      <c r="A41" s="12"/>
      <c r="B41" s="12"/>
      <c r="C41" s="11"/>
      <c r="D41" s="14"/>
      <c r="E41" s="17"/>
    </row>
    <row r="42" customFormat="false" ht="15" hidden="false" customHeight="false" outlineLevel="0" collapsed="false">
      <c r="A42" s="12"/>
      <c r="B42" s="12"/>
      <c r="C42" s="11"/>
      <c r="D42" s="14"/>
      <c r="E42" s="17"/>
    </row>
    <row r="43" customFormat="false" ht="15" hidden="false" customHeight="false" outlineLevel="0" collapsed="false">
      <c r="A43" s="12"/>
      <c r="B43" s="12"/>
      <c r="C43" s="11"/>
      <c r="D43" s="14"/>
      <c r="E43" s="17"/>
    </row>
    <row r="44" customFormat="false" ht="15" hidden="false" customHeight="false" outlineLevel="0" collapsed="false">
      <c r="A44" s="12"/>
      <c r="B44" s="12"/>
      <c r="C44" s="11"/>
      <c r="D44" s="14"/>
      <c r="E44" s="17"/>
    </row>
    <row r="45" customFormat="false" ht="15" hidden="false" customHeight="false" outlineLevel="0" collapsed="false">
      <c r="A45" s="12"/>
      <c r="B45" s="12"/>
      <c r="C45" s="11"/>
      <c r="D45" s="14"/>
      <c r="E45" s="17"/>
    </row>
    <row r="46" customFormat="false" ht="15" hidden="false" customHeight="false" outlineLevel="0" collapsed="false">
      <c r="A46" s="12"/>
      <c r="B46" s="12"/>
      <c r="C46" s="11"/>
      <c r="D46" s="14"/>
      <c r="E46" s="17"/>
    </row>
    <row r="47" customFormat="false" ht="15" hidden="false" customHeight="false" outlineLevel="0" collapsed="false">
      <c r="A47" s="12"/>
      <c r="B47" s="12"/>
      <c r="C47" s="11"/>
      <c r="D47" s="14"/>
      <c r="E47" s="17"/>
    </row>
    <row r="48" customFormat="false" ht="15" hidden="false" customHeight="false" outlineLevel="0" collapsed="false">
      <c r="A48" s="12"/>
      <c r="B48" s="12"/>
      <c r="C48" s="11"/>
      <c r="D48" s="14"/>
      <c r="E48" s="17"/>
    </row>
    <row r="49" customFormat="false" ht="15" hidden="false" customHeight="false" outlineLevel="0" collapsed="false">
      <c r="A49" s="12"/>
      <c r="B49" s="12"/>
      <c r="C49" s="11"/>
      <c r="D49" s="14"/>
      <c r="E49" s="17"/>
    </row>
    <row r="50" customFormat="false" ht="15" hidden="false" customHeight="false" outlineLevel="0" collapsed="false">
      <c r="A50" s="12"/>
      <c r="B50" s="12"/>
      <c r="C50" s="11"/>
      <c r="D50" s="14"/>
      <c r="E50" s="17"/>
    </row>
    <row r="51" customFormat="false" ht="15" hidden="false" customHeight="false" outlineLevel="0" collapsed="false">
      <c r="A51" s="12"/>
      <c r="B51" s="12"/>
      <c r="C51" s="11"/>
      <c r="D51" s="14"/>
      <c r="E51" s="17"/>
    </row>
    <row r="52" customFormat="false" ht="15" hidden="false" customHeight="false" outlineLevel="0" collapsed="false">
      <c r="A52" s="12"/>
      <c r="B52" s="12"/>
      <c r="C52" s="11"/>
      <c r="D52" s="14"/>
      <c r="E52" s="17"/>
    </row>
    <row r="53" customFormat="false" ht="15" hidden="false" customHeight="false" outlineLevel="0" collapsed="false">
      <c r="A53" s="12"/>
      <c r="B53" s="12"/>
      <c r="C53" s="11"/>
      <c r="D53" s="14"/>
      <c r="E53" s="17"/>
    </row>
    <row r="54" customFormat="false" ht="15" hidden="false" customHeight="false" outlineLevel="0" collapsed="false">
      <c r="A54" s="12"/>
      <c r="B54" s="12"/>
      <c r="C54" s="11"/>
      <c r="D54" s="14"/>
      <c r="E54" s="17"/>
    </row>
    <row r="55" customFormat="false" ht="15" hidden="false" customHeight="false" outlineLevel="0" collapsed="false">
      <c r="A55" s="12"/>
      <c r="B55" s="12"/>
      <c r="C55" s="11"/>
      <c r="D55" s="14"/>
      <c r="E55" s="17"/>
    </row>
    <row r="56" customFormat="false" ht="15" hidden="false" customHeight="false" outlineLevel="0" collapsed="false">
      <c r="A56" s="12"/>
      <c r="B56" s="12"/>
      <c r="C56" s="11"/>
      <c r="D56" s="14"/>
      <c r="E56" s="17"/>
    </row>
    <row r="57" customFormat="false" ht="15" hidden="false" customHeight="false" outlineLevel="0" collapsed="false">
      <c r="A57" s="12"/>
      <c r="B57" s="12"/>
      <c r="C57" s="11"/>
      <c r="D57" s="14"/>
      <c r="E57" s="17"/>
    </row>
    <row r="58" customFormat="false" ht="15" hidden="false" customHeight="false" outlineLevel="0" collapsed="false">
      <c r="A58" s="12"/>
      <c r="B58" s="12"/>
      <c r="C58" s="11"/>
      <c r="D58" s="14"/>
      <c r="E58" s="17"/>
    </row>
    <row r="59" customFormat="false" ht="15" hidden="false" customHeight="false" outlineLevel="0" collapsed="false">
      <c r="A59" s="12"/>
      <c r="B59" s="12"/>
      <c r="C59" s="11"/>
      <c r="D59" s="14"/>
      <c r="E59" s="17"/>
    </row>
    <row r="60" customFormat="false" ht="15" hidden="false" customHeight="false" outlineLevel="0" collapsed="false">
      <c r="A60" s="12"/>
      <c r="B60" s="12"/>
      <c r="C60" s="11"/>
      <c r="D60" s="14"/>
      <c r="E60" s="17"/>
    </row>
    <row r="61" customFormat="false" ht="15" hidden="false" customHeight="false" outlineLevel="0" collapsed="false">
      <c r="A61" s="12"/>
      <c r="B61" s="12"/>
      <c r="C61" s="11"/>
      <c r="D61" s="14"/>
      <c r="E61" s="17"/>
    </row>
    <row r="62" customFormat="false" ht="15" hidden="false" customHeight="false" outlineLevel="0" collapsed="false">
      <c r="A62" s="12"/>
      <c r="B62" s="12"/>
      <c r="C62" s="11"/>
      <c r="D62" s="14"/>
      <c r="E62" s="17"/>
    </row>
    <row r="63" customFormat="false" ht="15" hidden="false" customHeight="false" outlineLevel="0" collapsed="false">
      <c r="A63" s="12"/>
      <c r="B63" s="12"/>
      <c r="C63" s="11"/>
      <c r="D63" s="14"/>
      <c r="E63" s="17"/>
    </row>
  </sheetData>
  <dataValidations count="3">
    <dataValidation allowBlank="true" error="Enter a date, e.g. 16-Oct-2026" errorStyle="stop" operator="greaterThan" showDropDown="false" showErrorMessage="true" showInputMessage="false" sqref="C4:C63" type="date">
      <formula1>45000</formula1>
      <formula2>0</formula2>
    </dataValidation>
    <dataValidation allowBlank="true" error="Pick a value from the list" errorStyle="stop" operator="between" showDropDown="false" showErrorMessage="true" showInputMessage="false" sqref="A4:A63" type="list">
      <formula1>"Fleet,FTTx,FTTx pending"</formula1>
      <formula2>0</formula2>
    </dataValidation>
    <dataValidation allowBlank="true" error="Numbers only" errorStyle="stop" operator="between" showDropDown="false" showErrorMessage="true" showInputMessage="false" sqref="D4:D63" type="decimal">
      <formula1>-100000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2026-10-20T11:36:39Z</dcterms:created>
  <dc:creator>openpyxl</dc:creator>
  <dc:description/>
  <dc:language>en-US</dc:language>
  <cp:lastModifiedBy/>
  <dcterms:modified xsi:type="dcterms:W3CDTF">2026-10-20T11:36:39Z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